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982543704b42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9200a8c39484e9d"/>
    <x:sheet xmlns:r="http://schemas.openxmlformats.org/officeDocument/2006/relationships" name="Claim Map" sheetId="2" r:id="R33600bbd3aae4ff0"/>
    <x:sheet xmlns:r="http://schemas.openxmlformats.org/officeDocument/2006/relationships" name="RQ-H Map" sheetId="3" r:id="R865704a4f695461f"/>
    <x:sheet xmlns:r="http://schemas.openxmlformats.org/officeDocument/2006/relationships" name="Sources" sheetId="4" r:id="R57e069bfea2a4283"/>
    <x:sheet xmlns:r="http://schemas.openxmlformats.org/officeDocument/2006/relationships" name="Decisions" sheetId="5" r:id="R0c0d34e017474dd3"/>
    <x:sheet xmlns:r="http://schemas.openxmlformats.org/officeDocument/2006/relationships" name="Writing Rules" sheetId="6" r:id="R0123190220cb4dec"/>
    <x:sheet xmlns:r="http://schemas.openxmlformats.org/officeDocument/2006/relationships" name="Change Log" sheetId="7" r:id="Re58afec37dc04a88"/>
    <x:sheet xmlns:r="http://schemas.openxmlformats.org/officeDocument/2006/relationships" name="Asset Map" sheetId="8" r:id="R25172351e57c42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95959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2"/>
      <x:name val="Carlito"/>
    </x:font>
    <x:font>
      <x:b/>
      <x:sz val="16"/>
      <x:color rgb="FFFFFFFF"/>
      <x:name val="Carlito"/>
    </x:font>
    <x:font>
      <x:i/>
      <x:sz val="11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E7E6E6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E7E6E6"/>
      </x:patternFill>
    </x:fill>
  </x:fills>
  <x:borders count="2">
    <x:border/>
    <x:border/>
  </x:borders>
  <x:cellStyleXfs count="1">
    <x:xf numFmtId="0" fontId="0" fillId="0" borderId="0"/>
  </x:cellStyleXfs>
  <x:cellXfs count="1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center" vertical="top"/>
    </x:xf>
    <x:xf numFmtId="200" fontId="0" fillId="0" borderId="0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/>
    </x:xf>
    <x:xf numFmtId="0" fontId="5" fillId="6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top"/>
    </x:xf>
    <x:xf numFmtId="200" fontId="0" fillId="0" borderId="1" xfId="0" applyNumberFormat="1" applyFont="1" applyFill="1" applyBorder="1" applyAlignment="1">
      <x:alignment vertical="top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/>
    </x:xf>
    <x:xf numFmtId="0" fontId="5" fillId="6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6" fillId="2" borderId="0" xfId="0" applyNumberFormat="1" applyFont="1" applyFill="1" applyBorder="1" applyAlignment="1">
      <x:alignment horizontal="center" vertical="top"/>
    </x:xf>
    <x:xf numFmtId="0" fontId="7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6" fillId="2" borderId="1" xfId="0" applyNumberFormat="1" applyFont="1" applyFill="1" applyBorder="1" applyAlignment="1">
      <x:alignment horizontal="center" vertical="top"/>
    </x:xf>
    <x:xf numFmtId="0" fontId="7" fillId="3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4" fillId="9" xfId="0" applyNumberFormat="1" applyFont="1" applyFill="1" applyBorder="0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10" borderId="0" xfId="0" applyNumberFormat="1" applyFont="1" applyFill="1" applyBorder="1" applyAlignment="1">
      <x:alignment vertical="top"/>
    </x:xf>
    <x:xf numFmtId="0" fontId="3" fillId="10" borderId="0" xfId="0" applyNumberFormat="1" applyFont="1" applyFill="1" applyBorder="1" applyAlignment="1">
      <x:alignment vertical="top"/>
    </x:xf>
    <x:xf numFmtId="0" fontId="3" fillId="10" borderId="0" xfId="0" applyNumberFormat="1" applyFont="1" applyFill="1" applyBorder="1" applyAlignment="1">
      <x:alignment horizontal="center" vertical="top"/>
    </x:xf>
    <x:xf numFmtId="0" fontId="0" fillId="11" borderId="0" xfId="0" applyNumberFormat="1" applyFont="1" applyFill="1" applyBorder="1" applyAlignment="1">
      <x:alignment vertical="top"/>
    </x:xf>
    <x:xf numFmtId="0" fontId="0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 applyAlignment="1">
      <x:alignment vertical="top"/>
    </x:xf>
    <x:xf numFmtId="0" fontId="3" fillId="12" borderId="0" xfId="0" applyNumberFormat="1" applyFont="1" applyFill="1" applyBorder="1" applyAlignment="1">
      <x:alignment vertical="top"/>
    </x:xf>
    <x:xf numFmtId="0" fontId="3" fillId="12" borderId="0" xfId="0" applyNumberFormat="1" applyFont="1" applyFill="1" applyBorder="1" applyAlignment="1">
      <x:alignment horizontal="center" vertical="top"/>
    </x:xf>
    <x:xf numFmtId="0" fontId="4" fillId="5" xfId="0" applyNumberFormat="1" applyFont="1" applyFill="1" applyBorder="0" applyAlignment="1">
      <x:alignment vertical="top" wrapText="1"/>
    </x:xf>
    <x:xf numFmtId="0" fontId="0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0" fillId="3" borderId="0" xfId="0" applyNumberFormat="1" applyFont="1" applyFill="1" applyBorder="1" applyAlignment="1">
      <x:alignment vertical="top"/>
    </x:xf>
    <x:xf numFmtId="0" fontId="0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/>
    </x:xf>
    <x:xf numFmtId="0" fontId="0" fillId="13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horizontal="center" vertical="top" wrapText="1"/>
    </x:xf>
    <x:xf numFmtId="0" fontId="0" fillId="14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 applyAlignment="1">
      <x:alignment vertical="top"/>
    </x:xf>
    <x:xf numFmtId="0" fontId="3" fillId="13" borderId="0" xfId="0" applyNumberFormat="1" applyFont="1" applyFill="1" applyBorder="1" applyAlignment="1">
      <x:alignment vertical="top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/>
    <x:xf numFmtId="0" fontId="0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horizontal="center" wrapText="1"/>
    </x:xf>
    <x:xf numFmtId="0" fontId="0" fillId="15" borderId="0" xfId="0" applyNumberFormat="1" applyFont="1" applyFill="1" applyBorder="1" applyAlignment="1">
      <x:alignment vertical="top" wrapText="1"/>
    </x:xf>
    <x:xf numFmtId="0" fontId="3" fillId="15" borderId="0" xfId="0" applyNumberFormat="1" applyFont="1" applyFill="1" applyBorder="1" applyAlignment="1">
      <x:alignment vertical="top" wrapText="1"/>
    </x:xf>
    <x:xf numFmtId="0" fontId="3" fillId="15" borderId="0" xfId="0" applyNumberFormat="1" applyFont="1" applyFill="1" applyBorder="1" applyAlignment="1">
      <x:alignment horizontal="center" vertical="top" wrapText="1"/>
    </x:xf>
    <x:xf numFmtId="0" fontId="0" fillId="16" borderId="0" xfId="0" applyNumberFormat="1" applyFont="1" applyFill="1" applyBorder="1" applyAlignment="1">
      <x:alignment vertical="top" wrapText="1"/>
    </x:xf>
    <x:xf numFmtId="0" fontId="4" fillId="16" borderId="0" xfId="0" applyNumberFormat="1" applyFont="1" applyFill="1" applyBorder="1" applyAlignment="1">
      <x:alignment vertical="top" wrapText="1"/>
    </x:xf>
    <x:xf numFmtId="0" fontId="4" fillId="16" xfId="0" applyNumberFormat="1" applyFont="1" applyFill="1" applyBorder="0" applyAlignment="1">
      <x:alignment vertical="top" wrapText="1"/>
    </x:xf>
    <x:xf numFmtId="0" fontId="0" fillId="0" xfId="0" applyNumberFormat="1" applyFont="1" applyFill="1" applyBorder="0" applyAlignment="1">
      <x:alignment vertical="top"/>
    </x:xf>
  </x:cellXfs>
  <x:cellStyles count="1">
    <x:cellStyle name="Normal" xfId="0"/>
  </x:cellStyles>
  <x:dxfs count="20">
    <x:dxf>
      <x:font>
        <x:b/>
        <x:color rgb="FFFFFFFF"/>
      </x:font>
      <x:fill>
        <x:patternFill>
          <x:bgColor rgb="FF2F75B5"/>
        </x:patternFill>
      </x:fill>
    </x:dxf>
    <x:dxf>
      <x:font>
        <x:b/>
      </x:font>
      <x:fill>
        <x:patternFill>
          <x:bgColor rgb="FFD9EAF7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ill>
        <x:patternFill>
          <x:bgColor rgb="FFD9EAF7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ont>
        <x:i/>
      </x:font>
      <x:fill>
        <x:patternFill>
          <x:bgColor rgb="FFE7E6E6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ont>
        <x:i/>
      </x:font>
      <x:fill>
        <x:patternFill>
          <x:bgColor rgb="FFE7E6E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9a7d7f5fbc4117" /><Relationship Type="http://schemas.openxmlformats.org/officeDocument/2006/relationships/theme" Target="/xl/theme/theme1.xml" Id="Rdfa436b152ae4d70" /><Relationship Type="http://schemas.openxmlformats.org/officeDocument/2006/relationships/sharedStrings" Target="/xl/sharedStrings.xml" Id="R7b85c53b16b84624" /><Relationship Type="http://schemas.openxmlformats.org/officeDocument/2006/relationships/worksheet" Target="/xl/worksheets/sheet1.xml" Id="R29200a8c39484e9d" /><Relationship Type="http://schemas.openxmlformats.org/officeDocument/2006/relationships/worksheet" Target="/xl/worksheets/sheet2.xml" Id="R33600bbd3aae4ff0" /><Relationship Type="http://schemas.openxmlformats.org/officeDocument/2006/relationships/worksheet" Target="/xl/worksheets/sheet3.xml" Id="R865704a4f695461f" /><Relationship Type="http://schemas.openxmlformats.org/officeDocument/2006/relationships/worksheet" Target="/xl/worksheets/sheet4.xml" Id="R57e069bfea2a4283" /><Relationship Type="http://schemas.openxmlformats.org/officeDocument/2006/relationships/worksheet" Target="/xl/worksheets/sheet5.xml" Id="R0c0d34e017474dd3" /><Relationship Type="http://schemas.openxmlformats.org/officeDocument/2006/relationships/worksheet" Target="/xl/worksheets/sheet6.xml" Id="R0123190220cb4dec" /><Relationship Type="http://schemas.openxmlformats.org/officeDocument/2006/relationships/worksheet" Target="/xl/worksheets/sheet7.xml" Id="Re58afec37dc04a88" /><Relationship Type="http://schemas.openxmlformats.org/officeDocument/2006/relationships/worksheet" Target="/xl/worksheets/sheet8.xml" Id="R25172351e57c42ab" /></Relationships>
</file>

<file path=xl/tables/table1.xml><?xml version="1.0" encoding="utf-8"?>
<x:table xmlns:x="http://schemas.openxmlformats.org/spreadsheetml/2006/main" id="1" name="ClaimEvidenceMapV2" displayName="ClaimEvidenceMapV2" ref="A1:U29" headerRowCount="1">
  <x:tableColumns count="21">
    <x:tableColumn id="1" name="Claim ID"/>
    <x:tableColumn id="2" name="우선순위"/>
    <x:tableColumn id="3" name="기여 축"/>
    <x:tableColumn id="4" name="유형"/>
    <x:tableColumn id="5" name="최종 주장"/>
    <x:tableColumn id="6" name="핵심 비교·식별"/>
    <x:tableColumn id="7" name="적용 범위"/>
    <x:tableColumn id="8" name="핵심 증거"/>
    <x:tableColumn id="9" name="불확실성·판정기준"/>
    <x:tableColumn id="10" name="Source ID"/>
    <x:tableColumn id="11" name="Canonical 경로·필터·열"/>
    <x:tableColumn id="12" name="허용 해석"/>
    <x:tableColumn id="13" name="금지 해석"/>
    <x:tableColumn id="14" name="증거 클래스"/>
    <x:tableColumn id="15" name="세부 계보"/>
    <x:tableColumn id="16" name="증거 동결 상태"/>
    <x:tableColumn id="17" name="집필 준비 상태"/>
    <x:tableColumn id="18" name="Decision ID"/>
    <x:tableColumn id="19" name="본문 위치"/>
    <x:tableColumn id="20" name="표·그림 ID"/>
    <x:tableColumn id="21" name="집필 전 조치"/>
  </x:tableColumns>
  <x:tableStyleInfo name="TableStyleMedium2" showRowStripes="1"/>
</x:table>
</file>

<file path=xl/tables/table2.xml><?xml version="1.0" encoding="utf-8"?>
<x:table xmlns:x="http://schemas.openxmlformats.org/spreadsheetml/2006/main" id="2" name="RQHTraceabilityV2" displayName="RQHTraceabilityV2" ref="A1:H16" headerRowCount="1">
  <x:tableColumns count="8">
    <x:tableColumn id="1" name="공식 항목"/>
    <x:tableColumn id="2" name="동결 주제"/>
    <x:tableColumn id="3" name="주요 위치"/>
    <x:tableColumn id="4" name="증거지위"/>
    <x:tableColumn id="5" name="연결 Claim ID"/>
    <x:tableColumn id="6" name="Decision ID"/>
    <x:tableColumn id="7" name="Source ID"/>
    <x:tableColumn id="8" name="현재 상태"/>
  </x:tableColumns>
  <x:tableStyleInfo name="TableStyleMedium2" showRowStripes="1"/>
</x:table>
</file>

<file path=xl/tables/table3.xml><?xml version="1.0" encoding="utf-8"?>
<x:table xmlns:x="http://schemas.openxmlformats.org/spreadsheetml/2006/main" id="3" name="CanonicalSourceRegistry" displayName="CanonicalSourceRegistry" ref="A4:I36" headerRowCount="1">
  <x:tableColumns count="9">
    <x:tableColumn id="1" name="Source ID"/>
    <x:tableColumn id="2" name="영역"/>
    <x:tableColumn id="3" name="Repo-relative path"/>
    <x:tableColumn id="4" name="필터·키"/>
    <x:tableColumn id="5" name="필수 열·지표"/>
    <x:tableColumn id="6" name="Producer"/>
    <x:tableColumn id="7" name="Verifier"/>
    <x:tableColumn id="8" name="상태"/>
    <x:tableColumn id="9" name="비고"/>
  </x:tableColumns>
  <x:tableStyleInfo name="TableStyleMedium2" showRowStripes="1"/>
</x:table>
</file>

<file path=xl/tables/table4.xml><?xml version="1.0" encoding="utf-8"?>
<x:table xmlns:x="http://schemas.openxmlformats.org/spreadsheetml/2006/main" id="7" name="CanonicalEvidencePaths" displayName="CanonicalEvidencePaths" ref="J4:M36" headerRowCount="1">
  <x:tableColumns count="4">
    <x:tableColumn id="1" name="Materialization policy"/>
    <x:tableColumn id="2" name="Canonical evidence path"/>
    <x:tableColumn id="3" name="Sidecar path"/>
    <x:tableColumn id="4" name="Reproduction tier"/>
  </x:tableColumns>
  <x:tableStyleInfo name="TableStyleMedium2" showRowStripes="1"/>
</x:table>
</file>

<file path=xl/tables/table5.xml><?xml version="1.0" encoding="utf-8"?>
<x:table xmlns:x="http://schemas.openxmlformats.org/spreadsheetml/2006/main" id="4" name="ResearchDecisionLog" displayName="ResearchDecisionLog" ref="A1:H6" headerRowCount="1">
  <x:tableColumns count="8">
    <x:tableColumn id="1" name="Decision ID"/>
    <x:tableColumn id="2" name="주제"/>
    <x:tableColumn id="3" name="동결 결정"/>
    <x:tableColumn id="4" name="근거"/>
    <x:tableColumn id="5" name="허용 처리"/>
    <x:tableColumn id="6" name="금지 처리"/>
    <x:tableColumn id="7" name="영향 범위·추가 작업"/>
    <x:tableColumn id="8" name="상태"/>
  </x:tableColumns>
  <x:tableStyleInfo name="TableStyleMedium2" showRowStripes="1"/>
</x:table>
</file>

<file path=xl/tables/table6.xml><?xml version="1.0" encoding="utf-8"?>
<x:table xmlns:x="http://schemas.openxmlformats.org/spreadsheetml/2006/main" id="5" name="WritingRulesV2" displayName="WritingRulesV2" ref="A1:D17" headerRowCount="1">
  <x:tableColumns count="4">
    <x:tableColumn id="1" name="Rule ID"/>
    <x:tableColumn id="2" name="대상"/>
    <x:tableColumn id="3" name="권장 표현·규칙"/>
    <x:tableColumn id="4" name="금지 표현·오독"/>
  </x:tableColumns>
  <x:tableStyleInfo name="TableStyleMedium2" showRowStripes="1"/>
</x:table>
</file>

<file path=xl/tables/table7.xml><?xml version="1.0" encoding="utf-8"?>
<x:table xmlns:x="http://schemas.openxmlformats.org/spreadsheetml/2006/main" id="6" name="ClaimMapChangeLog" displayName="ClaimMapChangeLog" ref="A1:D15" headerRowCount="1">
  <x:tableColumns count="4">
    <x:tableColumn id="1" name="Change ID"/>
    <x:tableColumn id="2" name="대상"/>
    <x:tableColumn id="3" name="수정 내용"/>
    <x:tableColumn id="4" name="상태"/>
  </x:tableColumns>
  <x:tableStyleInfo name="TableStyleMedium2" showRowStripes="1"/>
</x:table>
</file>

<file path=xl/tables/table8.xml><?xml version="1.0" encoding="utf-8"?>
<x:table xmlns:x="http://schemas.openxmlformats.org/spreadsheetml/2006/main" id="8" name="FinalAssetMap" displayName="FinalAssetMap" ref="A4:H22" headerRowCount="1">
  <x:tableColumns count="8">
    <x:tableColumn id="1" name="Final slot"/>
    <x:tableColumn id="2" name="종류"/>
    <x:tableColumn id="3" name="최종 제목·역할"/>
    <x:tableColumn id="4" name="Panel·구성 기능 ID"/>
    <x:tableColumn id="5" name="연결 Claim"/>
    <x:tableColumn id="6" name="본문 위치"/>
    <x:tableColumn id="7" name="상태"/>
    <x:tableColumn id="8" name="비고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17f3dc3f5f4d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9f0769a90f41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a496df040b4298" /><Relationship Type="http://schemas.openxmlformats.org/officeDocument/2006/relationships/table" Target="/xl/tables/table4.xml" Id="R0ffc0a16405349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9ccf3b5ee0640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0b627d3eb1449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aa4ca8bed8b40c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e017cddb61f44d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24" hidden="0" customWidth="1"/>
    <x:col min="4" max="4" width="24" hidden="0" customWidth="1"/>
    <x:col min="5" max="5" width="33" hidden="0" customWidth="1"/>
    <x:col min="6" max="6" width="11" hidden="0" customWidth="1"/>
    <x:col min="7" max="7" width="25" hidden="0" customWidth="1"/>
    <x:col min="8" max="8" width="42" hidden="0" customWidth="1"/>
    <x:col min="9" max="9" width="15" hidden="0" customWidth="1"/>
    <x:col min="10" max="10" width="10" hidden="0" customWidth="1"/>
  </x:cols>
  <x:sheetData>
    <x:row r="1" ht="34" customHeight="1">
      <x:c r="A1" s="107" t="str">
        <x:v>Master Thesis Claim–Evidence Map v4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</x:row>
    <x:row r="2">
      <x:c r="A2" s="75" t="str">
        <x:v>Canonical root: 최종 Git commit의 repro_repo/ repository root · 28 Claim 모두 materialization·decision evaluation 완료 시 COMPLETE · H1/H2는 사전명세 3백엔드 범위 · 본문 7개 그림+9개 표의 16개 final slots로 통합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4"/>
      <x:c r="L2" s="74"/>
      <x:c r="M2" s="74"/>
      <x:c r="N2" s="74"/>
      <x:c r="O2" s="74"/>
      <x:c r="P2" s="74"/>
      <x:c r="Q2" s="74"/>
      <x:c r="R2" s="74"/>
      <x:c r="S2" s="74"/>
      <x:c r="T2" s="74"/>
      <x:c r="U2" s="74"/>
      <x:c r="V2" s="74"/>
    </x:row>
    <x:row r="3">
      <x:c r="A3" s="79"/>
      <x:c r="B3" s="79"/>
      <x:c r="C3" s="79"/>
      <x:c r="D3" s="79"/>
      <x:c r="E3" s="79"/>
      <x:c r="F3" s="79"/>
      <x:c r="G3" s="79"/>
      <x:c r="H3" s="79"/>
      <x:c r="I3" s="79"/>
      <x:c r="J3" s="79"/>
      <x:c r="K3" s="74"/>
      <x:c r="L3" s="74"/>
      <x:c r="M3" s="74"/>
      <x:c r="N3" s="74"/>
      <x:c r="O3" s="74"/>
      <x:c r="P3" s="74"/>
      <x:c r="Q3" s="74"/>
      <x:c r="R3" s="74"/>
      <x:c r="S3" s="74"/>
      <x:c r="T3" s="74"/>
      <x:c r="U3" s="74"/>
      <x:c r="V3" s="74"/>
    </x:row>
    <x:row r="4">
      <x:c r="A4" s="99" t="str">
        <x:v>KPI</x:v>
      </x:c>
      <x:c r="B4" s="99" t="str">
        <x:v>값</x:v>
      </x:c>
      <x:c r="C4" s="79"/>
      <x:c r="D4" s="99" t="str">
        <x:v>논문의 증거사슬</x:v>
      </x:c>
      <x:c r="E4" s="99"/>
      <x:c r="F4" s="99"/>
      <x:c r="G4" s="99"/>
      <x:c r="H4" s="99"/>
      <x:c r="I4" s="99"/>
      <x:c r="J4" s="99"/>
      <x:c r="K4" s="74"/>
      <x:c r="L4" s="74"/>
      <x:c r="M4" s="74"/>
      <x:c r="N4" s="74"/>
      <x:c r="O4" s="74"/>
      <x:c r="P4" s="74"/>
      <x:c r="Q4" s="74"/>
      <x:c r="R4" s="74"/>
      <x:c r="S4" s="74"/>
      <x:c r="T4" s="74"/>
      <x:c r="U4" s="74"/>
      <x:c r="V4" s="74"/>
    </x:row>
    <x:row r="5">
      <x:c r="A5" s="79" t="str">
        <x:v>총 Claim</x:v>
      </x:c>
      <x:c r="B5" s="108" t="n">
        <x:f>COUNTA('Claim Map'!A2:A200)</x:f>
        <x:v>28</x:v>
      </x:c>
      <x:c r="C5" s="79"/>
      <x:c r="D5" s="78" t="str">
        <x:v>단계</x:v>
      </x:c>
      <x:c r="E5" s="78" t="str">
        <x:v>핵심 질문</x:v>
      </x:c>
      <x:c r="F5" s="78" t="str">
        <x:v>대표 Claim</x:v>
      </x:c>
      <x:c r="G5" s="78" t="str">
        <x:v>증거 역할</x:v>
      </x:c>
      <x:c r="H5" s="78" t="str">
        <x:v>주요 장</x:v>
      </x:c>
      <x:c r="I5" s="78" t="str">
        <x:v>현재 공백</x:v>
      </x:c>
      <x:c r="J5" s="78" t="str">
        <x:v>결정</x:v>
      </x:c>
      <x:c r="K5" s="74"/>
      <x:c r="L5" s="74"/>
      <x:c r="M5" s="74"/>
      <x:c r="N5" s="74"/>
      <x:c r="O5" s="74"/>
      <x:c r="P5" s="74"/>
      <x:c r="Q5" s="74"/>
      <x:c r="R5" s="74"/>
      <x:c r="S5" s="74"/>
      <x:c r="T5" s="74"/>
      <x:c r="U5" s="74"/>
      <x:c r="V5" s="74"/>
    </x:row>
    <x:row r="6">
      <x:c r="A6" s="79" t="str">
        <x:v>P0 대표 결론</x:v>
      </x:c>
      <x:c r="B6" s="108" t="n">
        <x:f>COUNTIF('Claim Map'!B2:B200,"P0 대표 결론")</x:f>
        <x:v>7</x:v>
      </x:c>
      <x:c r="C6" s="79"/>
      <x:c r="D6" s="79" t="str">
        <x:v>1</x:v>
      </x:c>
      <x:c r="E6" s="79" t="str">
        <x:v>이 정책을 평가할 수 있는가?</x:v>
      </x:c>
      <x:c r="F6" s="79" t="str">
        <x:v>C01–C06</x:v>
      </x:c>
      <x:c r="G6" s="79" t="str">
        <x:v>평가관문·독립참조</x:v>
      </x:c>
      <x:c r="H6" s="79" t="str">
        <x:v>제3–4장</x:v>
      </x:c>
      <x:c r="I6" s="79" t="str">
        <x:v>Oracle/7-seed exact path·P50 vector</x:v>
      </x:c>
      <x:c r="J6" s="79" t="str">
        <x:v>D03</x:v>
      </x:c>
      <x:c r="K6" s="74"/>
      <x:c r="L6" s="74"/>
      <x:c r="M6" s="74"/>
      <x:c r="N6" s="74"/>
      <x:c r="O6" s="74"/>
      <x:c r="P6" s="74"/>
      <x:c r="Q6" s="74"/>
      <x:c r="R6" s="74"/>
      <x:c r="S6" s="74"/>
      <x:c r="T6" s="74"/>
      <x:c r="U6" s="74"/>
      <x:c r="V6" s="74"/>
    </x:row>
    <x:row r="7">
      <x:c r="A7" s="79" t="str">
        <x:v>집필 준비 완료</x:v>
      </x:c>
      <x:c r="B7" s="108" t="n">
        <x:f>COUNTIF('Claim Map'!Q2:Q200,"READY")+COUNTIF('Claim Map'!Q2:Q200,"READY_WITH_BOUNDARY")</x:f>
        <x:v>18</x:v>
      </x:c>
      <x:c r="C7" s="79"/>
      <x:c r="D7" s="79" t="str">
        <x:v>2</x:v>
      </x:c>
      <x:c r="E7" s="79" t="str">
        <x:v>높은 LLM 점수는 어디에서 왔는가?</x:v>
      </x:c>
      <x:c r="F7" s="79" t="str">
        <x:v>C07–C13,C26</x:v>
      </x:c>
      <x:c r="G7" s="79" t="str">
        <x:v>출력계약·귀속·정보·추론</x:v>
      </x:c>
      <x:c r="H7" s="79" t="str">
        <x:v>제5장</x:v>
      </x:c>
      <x:c r="I7" s="79" t="str">
        <x:v>H2·C8 claim-ready output</x:v>
      </x:c>
      <x:c r="J7" s="79" t="str"/>
      <x:c r="K7" s="74"/>
      <x:c r="L7" s="74"/>
      <x:c r="M7" s="74"/>
      <x:c r="N7" s="74"/>
      <x:c r="O7" s="74"/>
      <x:c r="P7" s="74"/>
      <x:c r="Q7" s="74"/>
      <x:c r="R7" s="74"/>
      <x:c r="S7" s="74"/>
      <x:c r="T7" s="74"/>
      <x:c r="U7" s="74"/>
      <x:c r="V7" s="74"/>
    </x:row>
    <x:row r="8">
      <x:c r="A8" s="79" t="str">
        <x:v>미완료 Claim</x:v>
      </x:c>
      <x:c r="B8" s="108" t="n">
        <x:f>B5-B7</x:f>
        <x:v>10</x:v>
      </x:c>
      <x:c r="C8" s="79"/>
      <x:c r="D8" s="79" t="str">
        <x:v>3</x:v>
      </x:c>
      <x:c r="E8" s="79" t="str">
        <x:v>재검토와 참조는 언제 가치가 있는가?</x:v>
      </x:c>
      <x:c r="F8" s="79" t="str">
        <x:v>C14–C27</x:v>
      </x:c>
      <x:c r="G8" s="79" t="str">
        <x:v>성분분해·예산·강건성</x:v>
      </x:c>
      <x:c r="H8" s="79" t="str">
        <x:v>제6장</x:v>
      </x:c>
      <x:c r="I8" s="79" t="str">
        <x:v>E3 relational/dynamic·revision dilution</x:v>
      </x:c>
      <x:c r="J8" s="79" t="str">
        <x:v>D01,D02</x:v>
      </x:c>
      <x:c r="K8" s="74"/>
      <x:c r="L8" s="74"/>
      <x:c r="M8" s="74"/>
      <x:c r="N8" s="74"/>
      <x:c r="O8" s="74"/>
      <x:c r="P8" s="74"/>
      <x:c r="Q8" s="74"/>
      <x:c r="R8" s="74"/>
      <x:c r="S8" s="74"/>
      <x:c r="T8" s="74"/>
      <x:c r="U8" s="74"/>
      <x:c r="V8" s="74"/>
    </x:row>
    <x:row r="9">
      <x:c r="A9" s="79" t="str">
        <x:v>P0 미완료</x:v>
      </x:c>
      <x:c r="B9" s="108" t="n">
        <x:f>COUNTIF('Claim Map'!B2:B200,"P0 대표 결론")-COUNTIFS('Claim Map'!B2:B200,"P0 대표 결론",'Claim Map'!Q2:Q200,"READY")-COUNTIFS('Claim Map'!B2:B200,"P0 대표 결론",'Claim Map'!Q2:Q200,"READY_WITH_BOUNDARY")</x:f>
        <x:v>2</x:v>
      </x:c>
      <x:c r="C9" s="79"/>
      <x:c r="D9" s="79" t="str">
        <x:v>4</x:v>
      </x:c>
      <x:c r="E9" s="79" t="str">
        <x:v>무엇을 승인해야 하는가?</x:v>
      </x:c>
      <x:c r="F9" s="79" t="str">
        <x:v>C24,C28</x:v>
      </x:c>
      <x:c r="G9" s="79" t="str">
        <x:v>QC·배포 정책 시스템</x:v>
      </x:c>
      <x:c r="H9" s="79" t="str">
        <x:v>제7장</x:v>
      </x:c>
      <x:c r="I9" s="79" t="str">
        <x:v>P50 provenance·final manifest</x:v>
      </x:c>
      <x:c r="J9" s="79" t="str">
        <x:v>D03,D04</x:v>
      </x:c>
      <x:c r="K9" s="74"/>
      <x:c r="L9" s="74"/>
      <x:c r="M9" s="74"/>
      <x:c r="N9" s="74"/>
      <x:c r="O9" s="74"/>
      <x:c r="P9" s="74"/>
      <x:c r="Q9" s="74"/>
      <x:c r="R9" s="74"/>
      <x:c r="S9" s="74"/>
      <x:c r="T9" s="74"/>
      <x:c r="U9" s="74"/>
      <x:c r="V9" s="74"/>
    </x:row>
    <x:row r="10">
      <x:c r="A10" s="79" t="str">
        <x:v>경로확인 필요</x:v>
      </x:c>
      <x:c r="B10" s="108" t="n">
        <x:f>COUNTIF('Claim Map'!Q2:Q200,"NOT_READY_PATH")</x:f>
        <x:v>5</x:v>
      </x:c>
      <x:c r="C10" s="79"/>
      <x:c r="D10" s="79"/>
      <x:c r="E10" s="79"/>
      <x:c r="F10" s="79"/>
      <x:c r="G10" s="79"/>
      <x:c r="H10" s="79"/>
      <x:c r="I10" s="79"/>
      <x:c r="J10" s="79"/>
      <x:c r="K10" s="74"/>
      <x:c r="L10" s="74"/>
      <x:c r="M10" s="74"/>
      <x:c r="N10" s="74"/>
      <x:c r="O10" s="74"/>
      <x:c r="P10" s="74"/>
      <x:c r="Q10" s="74"/>
      <x:c r="R10" s="74"/>
      <x:c r="S10" s="74"/>
      <x:c r="T10" s="74"/>
      <x:c r="U10" s="74"/>
      <x:c r="V10" s="74"/>
    </x:row>
    <x:row r="11">
      <x:c r="A11" s="79" t="str">
        <x:v>재산출 필요</x:v>
      </x:c>
      <x:c r="B11" s="108" t="n">
        <x:f>COUNTIF('Claim Map'!Q2:Q200,"NOT_READY_RECOMPUTE")</x:f>
        <x:v>3</x:v>
      </x:c>
      <x:c r="C11" s="79"/>
      <x:c r="D11" s="79"/>
      <x:c r="E11" s="79"/>
      <x:c r="F11" s="79"/>
      <x:c r="G11" s="79"/>
      <x:c r="H11" s="79"/>
      <x:c r="I11" s="79"/>
      <x:c r="J11" s="79"/>
      <x:c r="K11" s="74"/>
      <x:c r="L11" s="74"/>
      <x:c r="M11" s="74"/>
      <x:c r="N11" s="74"/>
      <x:c r="O11" s="74"/>
      <x:c r="P11" s="74"/>
      <x:c r="Q11" s="74"/>
      <x:c r="R11" s="74"/>
      <x:c r="S11" s="74"/>
      <x:c r="T11" s="74"/>
      <x:c r="U11" s="74"/>
      <x:c r="V11" s="74"/>
    </x:row>
    <x:row r="12">
      <x:c r="A12" s="79" t="str">
        <x:v>Provenance 보완</x:v>
      </x:c>
      <x:c r="B12" s="108" t="n">
        <x:f>COUNTIF('Claim Map'!Q2:Q200,"NOT_READY_PROVENANCE")</x:f>
        <x:v>1</x:v>
      </x:c>
      <x:c r="C12" s="79"/>
      <x:c r="D12" s="79"/>
      <x:c r="E12" s="79"/>
      <x:c r="F12" s="79"/>
      <x:c r="G12" s="79"/>
      <x:c r="H12" s="79"/>
      <x:c r="I12" s="79"/>
      <x:c r="J12" s="79"/>
      <x:c r="K12" s="74"/>
      <x:c r="L12" s="74"/>
      <x:c r="M12" s="74"/>
      <x:c r="N12" s="74"/>
      <x:c r="O12" s="74"/>
      <x:c r="P12" s="74"/>
      <x:c r="Q12" s="74"/>
      <x:c r="R12" s="74"/>
      <x:c r="S12" s="74"/>
      <x:c r="T12" s="74"/>
      <x:c r="U12" s="74"/>
      <x:c r="V12" s="74"/>
    </x:row>
    <x:row r="13">
      <x:c r="A13" s="79"/>
      <x:c r="B13" s="79"/>
      <x:c r="C13" s="79"/>
      <x:c r="D13" s="79"/>
      <x:c r="E13" s="79"/>
      <x:c r="F13" s="79"/>
      <x:c r="G13" s="79"/>
      <x:c r="H13" s="79"/>
      <x:c r="I13" s="79"/>
      <x:c r="J13" s="79"/>
      <x:c r="K13" s="74"/>
      <x:c r="L13" s="74"/>
      <x:c r="M13" s="74"/>
      <x:c r="N13" s="74"/>
      <x:c r="O13" s="74"/>
      <x:c r="P13" s="74"/>
      <x:c r="Q13" s="74"/>
      <x:c r="R13" s="74"/>
      <x:c r="S13" s="74"/>
      <x:c r="T13" s="74"/>
      <x:c r="U13" s="74"/>
      <x:c r="V13" s="74"/>
    </x:row>
    <x:row r="14">
      <x:c r="A14" s="95" t="str">
        <x:v>최종 중심 주장</x:v>
      </x:c>
      <x:c r="B14" s="95"/>
      <x:c r="C14" s="95"/>
      <x:c r="D14" s="95"/>
      <x:c r="E14" s="95"/>
      <x:c r="F14" s="95"/>
      <x:c r="G14" s="95"/>
      <x:c r="H14" s="95"/>
      <x:c r="I14" s="95"/>
      <x:c r="J14" s="95"/>
      <x:c r="K14" s="74"/>
      <x:c r="L14" s="74"/>
      <x:c r="M14" s="74"/>
      <x:c r="N14" s="74"/>
      <x:c r="O14" s="74"/>
      <x:c r="P14" s="74"/>
      <x:c r="Q14" s="74"/>
      <x:c r="R14" s="74"/>
      <x:c r="S14" s="74"/>
      <x:c r="T14" s="74"/>
      <x:c r="U14" s="74"/>
      <x:c r="V14" s="74"/>
    </x:row>
    <x:row r="15" ht="28" customHeight="1">
      <x:c r="A15" s="81" t="str">
        <x:v>검증된 평가기반 내부에서 관측된 상대 정책가치는 기초모델의 고정된 능력만으로 환원되지 않고 출력공간, 정보조건, 명시적 행동예산, 재검토, 외부 참조와 후처리가 결합된 배포 정책 시스템에 의존하였다. 명시적 총 L1 예산을 부여한 조건에서는 총 L1 예산을 제시하지 않은 조건보다 수정 패키지의 증분가치가 약했으며, 그 약화가 자기 재검토와 참조 구현 중 어느 단계에서 발생하는지는 평가한 GPT-5.4-mini와 Gemini 3.1 Flash-Lite 두 백엔드에서 서로 달랐다.</x:v>
      </x:c>
      <x:c r="B15" s="81"/>
      <x:c r="C15" s="81"/>
      <x:c r="D15" s="81"/>
      <x:c r="E15" s="81"/>
      <x:c r="F15" s="81"/>
      <x:c r="G15" s="81"/>
      <x:c r="H15" s="81"/>
      <x:c r="I15" s="81"/>
      <x:c r="J15" s="81"/>
      <x:c r="K15" s="74"/>
      <x:c r="L15" s="74"/>
      <x:c r="M15" s="74"/>
      <x:c r="N15" s="74"/>
      <x:c r="O15" s="74"/>
      <x:c r="P15" s="74"/>
      <x:c r="Q15" s="74"/>
      <x:c r="R15" s="74"/>
      <x:c r="S15" s="74"/>
      <x:c r="T15" s="74"/>
      <x:c r="U15" s="74"/>
      <x:c r="V15" s="74"/>
    </x:row>
    <x:row r="16" ht="28" customHeight="1">
      <x:c r="A16" s="81"/>
      <x:c r="B16" s="81"/>
      <x:c r="C16" s="81"/>
      <x:c r="D16" s="81"/>
      <x:c r="E16" s="81"/>
      <x:c r="F16" s="81"/>
      <x:c r="G16" s="81"/>
      <x:c r="H16" s="81"/>
      <x:c r="I16" s="81"/>
      <x:c r="J16" s="81"/>
      <x:c r="K16" s="74"/>
      <x:c r="L16" s="74"/>
      <x:c r="M16" s="74"/>
      <x:c r="N16" s="74"/>
      <x:c r="O16" s="74"/>
      <x:c r="P16" s="74"/>
      <x:c r="Q16" s="74"/>
      <x:c r="R16" s="74"/>
      <x:c r="S16" s="74"/>
      <x:c r="T16" s="74"/>
      <x:c r="U16" s="74"/>
      <x:c r="V16" s="74"/>
    </x:row>
    <x:row r="17" ht="28" customHeight="1">
      <x:c r="A17" s="81"/>
      <x:c r="B17" s="81"/>
      <x:c r="C17" s="81"/>
      <x:c r="D17" s="81"/>
      <x:c r="E17" s="81"/>
      <x:c r="F17" s="81"/>
      <x:c r="G17" s="81"/>
      <x:c r="H17" s="81"/>
      <x:c r="I17" s="81"/>
      <x:c r="J17" s="81"/>
      <x:c r="K17" s="74"/>
      <x:c r="L17" s="74"/>
      <x:c r="M17" s="74"/>
      <x:c r="N17" s="74"/>
      <x:c r="O17" s="74"/>
      <x:c r="P17" s="74"/>
      <x:c r="Q17" s="74"/>
      <x:c r="R17" s="74"/>
      <x:c r="S17" s="74"/>
      <x:c r="T17" s="74"/>
      <x:c r="U17" s="74"/>
      <x:c r="V17" s="74"/>
    </x:row>
    <x:row r="18">
      <x:c r="A18" s="79"/>
      <x:c r="B18" s="79"/>
      <x:c r="C18" s="79"/>
      <x:c r="D18" s="79"/>
      <x:c r="E18" s="79"/>
      <x:c r="F18" s="79"/>
      <x:c r="G18" s="79"/>
      <x:c r="H18" s="79"/>
      <x:c r="I18" s="79"/>
      <x:c r="J18" s="79"/>
      <x:c r="K18" s="74"/>
      <x:c r="L18" s="74"/>
      <x:c r="M18" s="74"/>
      <x:c r="N18" s="74"/>
      <x:c r="O18" s="74"/>
      <x:c r="P18" s="74"/>
      <x:c r="Q18" s="74"/>
      <x:c r="R18" s="74"/>
      <x:c r="S18" s="74"/>
      <x:c r="T18" s="74"/>
      <x:c r="U18" s="74"/>
      <x:c r="V18" s="74"/>
    </x:row>
    <x:row r="19">
      <x:c r="A19" s="82" t="str">
        <x:v>증거 클래스</x:v>
      </x:c>
      <x:c r="B19" s="82" t="str">
        <x:v>Claim 수</x:v>
      </x:c>
      <x:c r="C19" s="82" t="str">
        <x:v>집필 의미</x:v>
      </x:c>
      <x:c r="D19" s="82" t="str">
        <x:v>주의</x:v>
      </x:c>
      <x:c r="E19" s="79"/>
      <x:c r="F19" s="99" t="str">
        <x:v>현재 미완료 핵심 Claim</x:v>
      </x:c>
      <x:c r="G19" s="99"/>
      <x:c r="H19" s="99"/>
      <x:c r="I19" s="99"/>
      <x:c r="J19" s="99"/>
      <x:c r="K19" s="74"/>
      <x:c r="L19" s="74"/>
      <x:c r="M19" s="74"/>
      <x:c r="N19" s="74"/>
      <x:c r="O19" s="74"/>
      <x:c r="P19" s="74"/>
      <x:c r="Q19" s="74"/>
      <x:c r="R19" s="74"/>
      <x:c r="S19" s="74"/>
      <x:c r="T19" s="74"/>
      <x:c r="U19" s="74"/>
      <x:c r="V19" s="74"/>
    </x:row>
    <x:row r="20" ht="32" customHeight="1">
      <x:c r="A20" s="79" t="str">
        <x:v>주장경계·설계계약</x:v>
      </x:c>
      <x:c r="B20" s="79" t="n">
        <x:f>COUNTIF('Claim Map'!N2:N200,"주장경계·설계계약")</x:f>
        <x:v>1</x:v>
      </x:c>
      <x:c r="C20" s="79" t="str">
        <x:v>범위와 정의를 통제</x:v>
      </x:c>
      <x:c r="D20" s="79" t="str">
        <x:v>실증결과와 분리</x:v>
      </x:c>
      <x:c r="E20" s="79"/>
      <x:c r="F20" s="110" t="str">
        <x:v>Claim</x:v>
      </x:c>
      <x:c r="G20" s="110" t="str">
        <x:v>상태</x:v>
      </x:c>
      <x:c r="H20" s="110" t="str">
        <x:v>필요 조치</x:v>
      </x:c>
      <x:c r="I20" s="110" t="str">
        <x:v>영향 장</x:v>
      </x:c>
      <x:c r="J20" s="110" t="str">
        <x:v>우선</x:v>
      </x:c>
      <x:c r="K20" s="74"/>
      <x:c r="L20" s="74"/>
      <x:c r="M20" s="74"/>
      <x:c r="N20" s="74"/>
      <x:c r="O20" s="74"/>
      <x:c r="P20" s="74"/>
      <x:c r="Q20" s="74"/>
      <x:c r="R20" s="74"/>
      <x:c r="S20" s="74"/>
      <x:c r="T20" s="74"/>
      <x:c r="U20" s="74"/>
      <x:c r="V20" s="74"/>
    </x:row>
    <x:row r="21" ht="32" customHeight="1">
      <x:c r="A21" s="79" t="str">
        <x:v>사전 명세</x:v>
      </x:c>
      <x:c r="B21" s="79" t="n">
        <x:f>COUNTIF('Claim Map'!N2:N200,"사전 명세")</x:f>
        <x:v>11</x:v>
      </x:c>
      <x:c r="C21" s="79" t="str">
        <x:v>RQ/H 직접 판정</x:v>
      </x:c>
      <x:c r="D21" s="79" t="str">
        <x:v>원계보 유지</x:v>
      </x:c>
      <x:c r="E21" s="79"/>
      <x:c r="F21" s="111" t="str">
        <x:v>C02</x:v>
      </x:c>
      <x:c r="G21" s="111" t="str">
        <x:v>NOT_READY_PATH</x:v>
      </x:c>
      <x:c r="H21" s="111" t="str">
        <x:v>Oracle OOT exact source path</x:v>
      </x:c>
      <x:c r="I21" s="111" t="str">
        <x:v>3.5</x:v>
      </x:c>
      <x:c r="J21" s="111" t="str">
        <x:v>P0</x:v>
      </x:c>
      <x:c r="K21" s="74"/>
      <x:c r="L21" s="74"/>
      <x:c r="M21" s="74"/>
      <x:c r="N21" s="74"/>
      <x:c r="O21" s="74"/>
      <x:c r="P21" s="74"/>
      <x:c r="Q21" s="74"/>
      <x:c r="R21" s="74"/>
      <x:c r="S21" s="74"/>
      <x:c r="T21" s="74"/>
      <x:c r="U21" s="74"/>
      <x:c r="V21" s="74"/>
    </x:row>
    <x:row r="22" ht="32" customHeight="1">
      <x:c r="A22" s="79" t="str">
        <x:v>실행 전 동결 확장</x:v>
      </x:c>
      <x:c r="B22" s="79" t="n">
        <x:f>COUNTIF('Claim Map'!N2:N200,"실행 전 동결 확장")</x:f>
        <x:v>6</x:v>
      </x:c>
      <x:c r="C22" s="79" t="str">
        <x:v>E1–E4/R1–R3</x:v>
      </x:c>
      <x:c r="D22" s="79" t="str">
        <x:v>사전등록과 구분</x:v>
      </x:c>
      <x:c r="E22" s="79"/>
      <x:c r="F22" s="111" t="str">
        <x:v>C04</x:v>
      </x:c>
      <x:c r="G22" s="111" t="str">
        <x:v>NOT_READY_PATH</x:v>
      </x:c>
      <x:c r="H22" s="111" t="str">
        <x:v>정적 평가해상도 원장</x:v>
      </x:c>
      <x:c r="I22" s="111" t="str">
        <x:v>3.7</x:v>
      </x:c>
      <x:c r="J22" s="111" t="str">
        <x:v>P1</x:v>
      </x:c>
      <x:c r="K22" s="74"/>
      <x:c r="L22" s="74"/>
      <x:c r="M22" s="74"/>
      <x:c r="N22" s="74"/>
      <x:c r="O22" s="74"/>
      <x:c r="P22" s="74"/>
      <x:c r="Q22" s="74"/>
      <x:c r="R22" s="74"/>
      <x:c r="S22" s="74"/>
      <x:c r="T22" s="74"/>
      <x:c r="U22" s="74"/>
      <x:c r="V22" s="74"/>
    </x:row>
    <x:row r="23" ht="32" customHeight="1">
      <x:c r="A23" s="79" t="str">
        <x:v>Evaluator-only 사후 귀속</x:v>
      </x:c>
      <x:c r="B23" s="79" t="n">
        <x:f>COUNTIF('Claim Map'!N2:N200,"Evaluator-only 사후 귀속")</x:f>
        <x:v>4</x:v>
      </x:c>
      <x:c r="C23" s="79" t="str">
        <x:v>기여·이질성·축귀속</x:v>
      </x:c>
      <x:c r="D23" s="79" t="str">
        <x:v>인과해석 금지</x:v>
      </x:c>
      <x:c r="E23" s="79"/>
      <x:c r="F23" s="111" t="str">
        <x:v>C05</x:v>
      </x:c>
      <x:c r="G23" s="111" t="str">
        <x:v>NOT_READY_PROVENANCE</x:v>
      </x:c>
      <x:c r="H23" s="111" t="str">
        <x:v>P50 YAML/checkpoint/prompt vector verifier</x:v>
      </x:c>
      <x:c r="I23" s="111" t="str">
        <x:v>4.7</x:v>
      </x:c>
      <x:c r="J23" s="111" t="str">
        <x:v>P1</x:v>
      </x:c>
      <x:c r="K23" s="74"/>
      <x:c r="L23" s="74"/>
      <x:c r="M23" s="74"/>
      <x:c r="N23" s="74"/>
      <x:c r="O23" s="74"/>
      <x:c r="P23" s="74"/>
      <x:c r="Q23" s="74"/>
      <x:c r="R23" s="74"/>
      <x:c r="S23" s="74"/>
      <x:c r="T23" s="74"/>
      <x:c r="U23" s="74"/>
      <x:c r="V23" s="74"/>
    </x:row>
    <x:row r="24" ht="32" customHeight="1">
      <x:c r="A24" s="79" t="str">
        <x:v>탐색적 분석</x:v>
      </x:c>
      <x:c r="B24" s="79" t="n">
        <x:f>COUNTIF('Claim Map'!N2:N200,"탐색적 분석")</x:f>
        <x:v>0</x:v>
      </x:c>
      <x:c r="C24" s="79" t="str">
        <x:v>운영가설</x:v>
      </x:c>
      <x:c r="D24" s="79" t="str">
        <x:v>독립검증 전 규칙화 금지</x:v>
      </x:c>
      <x:c r="E24" s="79"/>
      <x:c r="F24" s="111" t="str">
        <x:v>C06</x:v>
      </x:c>
      <x:c r="G24" s="111" t="str">
        <x:v>NOT_READY_PATH</x:v>
      </x:c>
      <x:c r="H24" s="111" t="str">
        <x:v>RL seven-seed exact ledger</x:v>
      </x:c>
      <x:c r="I24" s="111" t="str">
        <x:v>4.6</x:v>
      </x:c>
      <x:c r="J24" s="111" t="str">
        <x:v>P0</x:v>
      </x:c>
      <x:c r="K24" s="74"/>
      <x:c r="L24" s="74"/>
      <x:c r="M24" s="74"/>
      <x:c r="N24" s="74"/>
      <x:c r="O24" s="74"/>
      <x:c r="P24" s="74"/>
      <x:c r="Q24" s="74"/>
      <x:c r="R24" s="74"/>
      <x:c r="S24" s="74"/>
      <x:c r="T24" s="74"/>
      <x:c r="U24" s="74"/>
      <x:c r="V24" s="74"/>
    </x:row>
    <x:row r="25" ht="32" customHeight="1">
      <x:c r="A25" s="79" t="str">
        <x:v>QC·프로토콜 감사</x:v>
      </x:c>
      <x:c r="B25" s="79" t="n">
        <x:f>COUNTIF('Claim Map'!N2:N200,"QC·프로토콜 감사")</x:f>
        <x:v>5</x:v>
      </x:c>
      <x:c r="C25" s="79" t="str">
        <x:v>비교 적격성·provenance</x:v>
      </x:c>
      <x:c r="D25" s="79" t="str">
        <x:v>현실안전성 자동증명 아님</x:v>
      </x:c>
      <x:c r="E25" s="79"/>
      <x:c r="F25" s="111" t="str">
        <x:v>C11</x:v>
      </x:c>
      <x:c r="G25" s="111" t="str">
        <x:v>NOT_READY_PATH</x:v>
      </x:c>
      <x:c r="H25" s="111" t="str">
        <x:v>firm-level 재현성 원장 + 7-seed 연결</x:v>
      </x:c>
      <x:c r="I25" s="111" t="str">
        <x:v>5.6, 6.8</x:v>
      </x:c>
      <x:c r="J25" s="111" t="str">
        <x:v>P2</x:v>
      </x:c>
      <x:c r="K25" s="74"/>
      <x:c r="L25" s="74"/>
      <x:c r="M25" s="74"/>
      <x:c r="N25" s="74"/>
      <x:c r="O25" s="74"/>
      <x:c r="P25" s="74"/>
      <x:c r="Q25" s="74"/>
      <x:c r="R25" s="74"/>
      <x:c r="S25" s="74"/>
      <x:c r="T25" s="74"/>
      <x:c r="U25" s="74"/>
      <x:c r="V25" s="74"/>
    </x:row>
    <x:row r="26" ht="32" customHeight="1">
      <x:c r="A26" s="79" t="str">
        <x:v>통합 운영결론</x:v>
      </x:c>
      <x:c r="B26" s="79" t="n">
        <x:f>COUNTIF('Claim Map'!N2:N200,"통합 운영결론")</x:f>
        <x:v>1</x:v>
      </x:c>
      <x:c r="C26" s="79" t="str">
        <x:v>배포 정책 시스템 승인단위</x:v>
      </x:c>
      <x:c r="D26" s="79" t="str">
        <x:v>규범적 귀결</x:v>
      </x:c>
      <x:c r="E26" s="79"/>
      <x:c r="F26" s="111" t="str">
        <x:v>C13</x:v>
      </x:c>
      <x:c r="G26" s="111" t="str">
        <x:v>NOT_READY_PATH</x:v>
      </x:c>
      <x:c r="H26" s="111" t="str">
        <x:v>C8 paired contrast·Holm family</x:v>
      </x:c>
      <x:c r="I26" s="111" t="str">
        <x:v>6.4.1</x:v>
      </x:c>
      <x:c r="J26" s="111" t="str">
        <x:v>P2</x:v>
      </x:c>
      <x:c r="K26" s="74"/>
      <x:c r="L26" s="74"/>
      <x:c r="M26" s="74"/>
      <x:c r="N26" s="74"/>
      <x:c r="O26" s="74"/>
      <x:c r="P26" s="74"/>
      <x:c r="Q26" s="74"/>
      <x:c r="R26" s="74"/>
      <x:c r="S26" s="74"/>
      <x:c r="T26" s="74"/>
      <x:c r="U26" s="74"/>
      <x:c r="V26" s="74"/>
    </x:row>
    <x:row r="27" ht="32" customHeight="1">
      <x:c r="A27" s="79" t="str">
        <x:v>합계</x:v>
      </x:c>
      <x:c r="B27" s="79" t="n">
        <x:f>SUM(B20:B26)</x:f>
        <x:v>28</x:v>
      </x:c>
      <x:c r="C27" s="79" t="str"/>
      <x:c r="D27" s="79" t="str"/>
      <x:c r="E27" s="79"/>
      <x:c r="F27" s="111" t="str">
        <x:v>C20</x:v>
      </x:c>
      <x:c r="G27" s="111" t="str">
        <x:v>CONDITIONAL_ONLY</x:v>
      </x:c>
      <x:c r="H27" s="111" t="str">
        <x:v>수정 희석 5개 요건</x:v>
      </x:c>
      <x:c r="I27" s="111" t="str">
        <x:v>6.3.3</x:v>
      </x:c>
      <x:c r="J27" s="111" t="str">
        <x:v>P2</x:v>
      </x:c>
      <x:c r="K27" s="74"/>
      <x:c r="L27" s="74"/>
      <x:c r="M27" s="74"/>
      <x:c r="N27" s="74"/>
      <x:c r="O27" s="74"/>
      <x:c r="P27" s="74"/>
      <x:c r="Q27" s="74"/>
      <x:c r="R27" s="74"/>
      <x:c r="S27" s="74"/>
      <x:c r="T27" s="74"/>
      <x:c r="U27" s="74"/>
      <x:c r="V27" s="74"/>
    </x:row>
    <x:row r="28" ht="32" customHeight="1">
      <x:c r="A28" s="79"/>
      <x:c r="B28" s="79"/>
      <x:c r="C28" s="79"/>
      <x:c r="D28" s="79"/>
      <x:c r="E28" s="79"/>
      <x:c r="F28" s="111" t="str">
        <x:v>C25</x:v>
      </x:c>
      <x:c r="G28" s="111" t="str">
        <x:v>NOT_READY_RECOMPUTE</x:v>
      </x:c>
      <x:c r="H28" s="111" t="str">
        <x:v>E3 relational-reference</x:v>
      </x:c>
      <x:c r="I28" s="111" t="str">
        <x:v>6.4.2</x:v>
      </x:c>
      <x:c r="J28" s="111" t="str">
        <x:v>P2</x:v>
      </x:c>
      <x:c r="K28" s="74"/>
      <x:c r="L28" s="74"/>
      <x:c r="M28" s="74"/>
      <x:c r="N28" s="74"/>
      <x:c r="O28" s="74"/>
      <x:c r="P28" s="74"/>
      <x:c r="Q28" s="74"/>
      <x:c r="R28" s="74"/>
      <x:c r="S28" s="74"/>
      <x:c r="T28" s="74"/>
      <x:c r="U28" s="74"/>
      <x:c r="V28" s="74"/>
    </x:row>
    <x:row r="29" ht="32" customHeight="1">
      <x:c r="A29" s="79"/>
      <x:c r="B29" s="79"/>
      <x:c r="C29" s="79"/>
      <x:c r="D29" s="79"/>
      <x:c r="E29" s="79"/>
      <x:c r="F29" s="111" t="str">
        <x:v>C26</x:v>
      </x:c>
      <x:c r="G29" s="111" t="str">
        <x:v>NOT_READY_RECOMPUTE</x:v>
      </x:c>
      <x:c r="H29" s="111" t="str">
        <x:v>H2 format/reviewability</x:v>
      </x:c>
      <x:c r="I29" s="111" t="str">
        <x:v>5.4</x:v>
      </x:c>
      <x:c r="J29" s="111" t="str">
        <x:v>P1</x:v>
      </x:c>
      <x:c r="K29" s="74"/>
      <x:c r="L29" s="74"/>
      <x:c r="M29" s="74"/>
      <x:c r="N29" s="74"/>
      <x:c r="O29" s="74"/>
      <x:c r="P29" s="74"/>
      <x:c r="Q29" s="74"/>
      <x:c r="R29" s="74"/>
      <x:c r="S29" s="74"/>
      <x:c r="T29" s="74"/>
      <x:c r="U29" s="74"/>
      <x:c r="V29" s="74"/>
    </x:row>
    <x:row r="30" ht="32" customHeight="1">
      <x:c r="A30" s="79"/>
      <x:c r="B30" s="79"/>
      <x:c r="C30" s="79"/>
      <x:c r="D30" s="79"/>
      <x:c r="E30" s="79"/>
      <x:c r="F30" s="111" t="str">
        <x:v>C27</x:v>
      </x:c>
      <x:c r="G30" s="111" t="str">
        <x:v>NOT_READY_RECOMPUTE</x:v>
      </x:c>
      <x:c r="H30" s="111" t="str">
        <x:v>E3 dynamic-resolution</x:v>
      </x:c>
      <x:c r="I30" s="111" t="str">
        <x:v>6.7.1</x:v>
      </x:c>
      <x:c r="J30" s="111" t="str">
        <x:v>P2</x:v>
      </x:c>
      <x:c r="K30" s="74"/>
      <x:c r="L30" s="74"/>
      <x:c r="M30" s="74"/>
      <x:c r="N30" s="74"/>
      <x:c r="O30" s="74"/>
      <x:c r="P30" s="74"/>
      <x:c r="Q30" s="74"/>
      <x:c r="R30" s="74"/>
      <x:c r="S30" s="74"/>
      <x:c r="T30" s="74"/>
      <x:c r="U30" s="74"/>
      <x:c r="V30" s="74"/>
    </x:row>
    <x:row r="31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4"/>
      <x:c r="L31" s="74"/>
      <x:c r="M31" s="74"/>
      <x:c r="N31" s="74"/>
      <x:c r="O31" s="74"/>
      <x:c r="P31" s="74"/>
      <x:c r="Q31" s="74"/>
      <x:c r="R31" s="74"/>
      <x:c r="S31" s="74"/>
      <x:c r="T31" s="74"/>
      <x:c r="U31" s="74"/>
      <x:c r="V31" s="74"/>
    </x:row>
    <x:row r="32">
      <x:c r="A32" s="129" t="str">
        <x:v>공식 Claim class enum</x:v>
      </x:c>
      <x:c r="B32" s="129"/>
      <x:c r="C32" s="129"/>
      <x:c r="D32" s="129"/>
      <x:c r="E32" s="129"/>
      <x:c r="F32" s="129"/>
      <x:c r="G32" s="129"/>
      <x:c r="H32" s="129"/>
      <x:c r="I32" s="129"/>
      <x:c r="J32" s="129"/>
      <x:c r="K32" s="74"/>
      <x:c r="L32" s="74"/>
      <x:c r="M32" s="74"/>
      <x:c r="N32" s="74"/>
      <x:c r="O32" s="74"/>
      <x:c r="P32" s="74"/>
      <x:c r="Q32" s="74"/>
      <x:c r="R32" s="74"/>
      <x:c r="S32" s="74"/>
      <x:c r="T32" s="74"/>
      <x:c r="U32" s="74"/>
      <x:c r="V32" s="74"/>
    </x:row>
    <x:row r="33">
      <x:c r="A33" s="130" t="str">
        <x:v>BOUNDARY_OR_DESIGN_CONTRACT · PREREGISTERED · EXECUTION_FROZEN_EXTENSION · EVALUATOR_ONLY_POST_HOC · EXPLORATORY · QC_OR_PROTOCOL_AUDIT · INTEGRATED_OPERATIONAL_CONCLUSION. 세 계약과 코드 enum을 이 7개로 통일한다.</x:v>
      </x:c>
      <x:c r="B33" s="130"/>
      <x:c r="C33" s="130"/>
      <x:c r="D33" s="130"/>
      <x:c r="E33" s="130"/>
      <x:c r="F33" s="130"/>
      <x:c r="G33" s="130"/>
      <x:c r="H33" s="130"/>
      <x:c r="I33" s="130"/>
      <x:c r="J33" s="130"/>
      <x:c r="K33" s="74"/>
      <x:c r="L33" s="74"/>
      <x:c r="M33" s="74"/>
      <x:c r="N33" s="74"/>
      <x:c r="O33" s="74"/>
      <x:c r="P33" s="74"/>
      <x:c r="Q33" s="74"/>
      <x:c r="R33" s="74"/>
      <x:c r="S33" s="74"/>
      <x:c r="T33" s="74"/>
      <x:c r="U33" s="74"/>
      <x:c r="V33" s="74"/>
    </x:row>
    <x:row r="34">
      <x:c r="A34" s="130"/>
      <x:c r="B34" s="130"/>
      <x:c r="C34" s="130"/>
      <x:c r="D34" s="130"/>
      <x:c r="E34" s="130"/>
      <x:c r="F34" s="130"/>
      <x:c r="G34" s="130"/>
      <x:c r="H34" s="130"/>
      <x:c r="I34" s="130"/>
      <x:c r="J34" s="130"/>
      <x:c r="K34" s="74"/>
      <x:c r="L34" s="74"/>
      <x:c r="M34" s="74"/>
      <x:c r="N34" s="74"/>
      <x:c r="O34" s="74"/>
      <x:c r="P34" s="74"/>
      <x:c r="Q34" s="74"/>
      <x:c r="R34" s="74"/>
      <x:c r="S34" s="74"/>
      <x:c r="T34" s="74"/>
      <x:c r="U34" s="74"/>
      <x:c r="V34" s="74"/>
    </x:row>
    <x:row r="35">
      <x:c r="A35" s="130"/>
      <x:c r="B35" s="130"/>
      <x:c r="C35" s="130"/>
      <x:c r="D35" s="130"/>
      <x:c r="E35" s="130"/>
      <x:c r="F35" s="130"/>
      <x:c r="G35" s="130"/>
      <x:c r="H35" s="130"/>
      <x:c r="I35" s="130"/>
      <x:c r="J35" s="130"/>
      <x:c r="K35" s="74"/>
      <x:c r="L35" s="74"/>
      <x:c r="M35" s="74"/>
      <x:c r="N35" s="74"/>
      <x:c r="O35" s="74"/>
      <x:c r="P35" s="74"/>
      <x:c r="Q35" s="74"/>
      <x:c r="R35" s="74"/>
      <x:c r="S35" s="74"/>
      <x:c r="T35" s="74"/>
      <x:c r="U35" s="74"/>
      <x:c r="V35" s="74"/>
    </x:row>
    <x:row r="36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4"/>
      <x:c r="L36" s="74"/>
      <x:c r="M36" s="74"/>
      <x:c r="N36" s="74"/>
      <x:c r="O36" s="74"/>
      <x:c r="P36" s="74"/>
      <x:c r="Q36" s="74"/>
      <x:c r="R36" s="74"/>
      <x:c r="S36" s="74"/>
      <x:c r="T36" s="74"/>
      <x:c r="U36" s="74"/>
      <x:c r="V36" s="74"/>
    </x:row>
    <x:row r="37">
      <x:c r="A37" s="79"/>
      <x:c r="B37" s="79"/>
      <x:c r="C37" s="79"/>
      <x:c r="D37" s="145" t="str">
        <x:v>본문 시각자료 예산</x:v>
      </x:c>
      <x:c r="E37" s="145"/>
      <x:c r="F37" s="145"/>
      <x:c r="G37" s="145"/>
      <x:c r="H37" s="145"/>
      <x:c r="I37" s="145"/>
      <x:c r="J37" s="145"/>
      <x:c r="K37" s="74"/>
      <x:c r="L37" s="74"/>
      <x:c r="M37" s="74"/>
      <x:c r="N37" s="74"/>
      <x:c r="O37" s="74"/>
      <x:c r="P37" s="74"/>
      <x:c r="Q37" s="74"/>
      <x:c r="R37" s="74"/>
      <x:c r="S37" s="74"/>
      <x:c r="T37" s="74"/>
      <x:c r="U37" s="74"/>
      <x:c r="V37" s="74"/>
    </x:row>
    <x:row r="38">
      <x:c r="A38" s="79"/>
      <x:c r="B38" s="79"/>
      <x:c r="C38" s="79"/>
      <x:c r="D38" s="148" t="str">
        <x:v>구분</x:v>
      </x:c>
      <x:c r="E38" s="148" t="str">
        <x:v>최종 슬롯</x:v>
      </x:c>
      <x:c r="F38" s="148" t="str">
        <x:v>기능 ID 통합</x:v>
      </x:c>
      <x:c r="G38" s="148" t="str">
        <x:v>미완료 슬롯</x:v>
      </x:c>
      <x:c r="H38" s="148" t="str">
        <x:v>결정</x:v>
      </x:c>
      <x:c r="I38" s="148" t="str">
        <x:v>검증</x:v>
      </x:c>
      <x:c r="J38" s="148" t="str">
        <x:v>시트</x:v>
      </x:c>
      <x:c r="K38" s="74"/>
      <x:c r="L38" s="74"/>
      <x:c r="M38" s="74"/>
      <x:c r="N38" s="74"/>
      <x:c r="O38" s="74"/>
      <x:c r="P38" s="74"/>
      <x:c r="Q38" s="74"/>
      <x:c r="R38" s="74"/>
      <x:c r="S38" s="74"/>
      <x:c r="T38" s="74"/>
      <x:c r="U38" s="74"/>
      <x:c r="V38" s="74"/>
    </x:row>
    <x:row r="39">
      <x:c r="A39" s="79"/>
      <x:c r="B39" s="79"/>
      <x:c r="C39" s="79"/>
      <x:c r="D39" s="111" t="str">
        <x:v>그림</x:v>
      </x:c>
      <x:c r="E39" s="111" t="str">
        <x:v>7</x:v>
      </x:c>
      <x:c r="F39" s="111" t="str">
        <x:v>11개 기능 ID + 신규 FIG-03</x:v>
      </x:c>
      <x:c r="G39" s="111" t="str">
        <x:v>FIG-06</x:v>
      </x:c>
      <x:c r="H39" s="111" t="str">
        <x:v>D11</x:v>
      </x:c>
      <x:c r="I39" s="111" t="str">
        <x:v>paper_display_registry</x:v>
      </x:c>
      <x:c r="J39" s="111" t="str">
        <x:v>Asset Map</x:v>
      </x:c>
      <x:c r="K39" s="74"/>
      <x:c r="L39" s="74"/>
      <x:c r="M39" s="74"/>
      <x:c r="N39" s="74"/>
      <x:c r="O39" s="74"/>
      <x:c r="P39" s="74"/>
      <x:c r="Q39" s="74"/>
      <x:c r="R39" s="74"/>
      <x:c r="S39" s="74"/>
      <x:c r="T39" s="74"/>
      <x:c r="U39" s="74"/>
      <x:c r="V39" s="74"/>
    </x:row>
    <x:row r="40">
      <x:c r="A40" s="79"/>
      <x:c r="B40" s="79"/>
      <x:c r="C40" s="79"/>
      <x:c r="D40" s="111" t="str">
        <x:v>표</x:v>
      </x:c>
      <x:c r="E40" s="111" t="str">
        <x:v>9</x:v>
      </x:c>
      <x:c r="F40" s="111" t="str">
        <x:v>14개 기능 ID + 신규 TAB-01/02</x:v>
      </x:c>
      <x:c r="G40" s="111" t="str">
        <x:v>TAB-03/04/06/08/09</x:v>
      </x:c>
      <x:c r="H40" s="111" t="str">
        <x:v>D11</x:v>
      </x:c>
      <x:c r="I40" s="111" t="str">
        <x:v>paper_display_registry</x:v>
      </x:c>
      <x:c r="J40" s="111" t="str">
        <x:v>Asset Map</x:v>
      </x:c>
      <x:c r="K40" s="74"/>
      <x:c r="L40" s="74"/>
      <x:c r="M40" s="74"/>
      <x:c r="N40" s="74"/>
      <x:c r="O40" s="74"/>
      <x:c r="P40" s="74"/>
      <x:c r="Q40" s="74"/>
      <x:c r="R40" s="74"/>
      <x:c r="S40" s="74"/>
      <x:c r="T40" s="74"/>
      <x:c r="U40" s="74"/>
      <x:c r="V40" s="74"/>
    </x:row>
    <x:row r="41">
      <x:c r="A41" s="74"/>
      <x:c r="B41" s="74"/>
      <x:c r="C41" s="74"/>
      <x:c r="D41" s="111" t="str">
        <x:v>부록</x:v>
      </x:c>
      <x:c r="E41" s="111" t="str">
        <x:v>2+</x:v>
      </x:c>
      <x:c r="F41" s="111" t="str">
        <x:v>조건부·상세 원장</x:v>
      </x:c>
      <x:c r="G41" s="111" t="str">
        <x:v>APP-TAB-RD/RRV</x:v>
      </x:c>
      <x:c r="H41" s="111" t="str">
        <x:v>D01,D11</x:v>
      </x:c>
      <x:c r="I41" s="111" t="str">
        <x:v>appendix registry</x:v>
      </x:c>
      <x:c r="J41" s="111" t="str">
        <x:v>Asset Map</x:v>
      </x:c>
      <x:c r="K41" s="74"/>
      <x:c r="L41" s="74"/>
      <x:c r="M41" s="74"/>
      <x:c r="N41" s="74"/>
      <x:c r="O41" s="74"/>
      <x:c r="P41" s="74"/>
      <x:c r="Q41" s="74"/>
      <x:c r="R41" s="74"/>
      <x:c r="S41" s="74"/>
      <x:c r="T41" s="74"/>
      <x:c r="U41" s="74"/>
      <x:c r="V41" s="74"/>
    </x:row>
    <x:row r="42">
      <x:c r="A42" s="74"/>
      <x:c r="B42" s="74"/>
      <x:c r="C42" s="74"/>
      <x:c r="D42" s="74"/>
      <x:c r="E42" s="74"/>
      <x:c r="F42" s="74"/>
      <x:c r="G42" s="74"/>
      <x:c r="H42" s="74"/>
      <x:c r="I42" s="74"/>
      <x:c r="J42" s="74"/>
      <x:c r="K42" s="74"/>
      <x:c r="L42" s="74"/>
      <x:c r="M42" s="74"/>
      <x:c r="N42" s="74"/>
      <x:c r="O42" s="74"/>
      <x:c r="P42" s="74"/>
      <x:c r="Q42" s="74"/>
      <x:c r="R42" s="74"/>
      <x:c r="S42" s="74"/>
      <x:c r="T42" s="74"/>
      <x:c r="U42" s="74"/>
      <x:c r="V42" s="74"/>
    </x:row>
    <x:row r="43">
      <x:c r="A43" s="74"/>
      <x:c r="B43" s="74"/>
      <x:c r="C43" s="74"/>
      <x:c r="D43" s="74"/>
      <x:c r="E43" s="74"/>
      <x:c r="F43" s="74"/>
      <x:c r="G43" s="74"/>
      <x:c r="H43" s="74"/>
      <x:c r="I43" s="74"/>
      <x:c r="J43" s="74"/>
      <x:c r="K43" s="74"/>
      <x:c r="L43" s="74"/>
      <x:c r="M43" s="74"/>
      <x:c r="N43" s="74"/>
      <x:c r="O43" s="74"/>
      <x:c r="P43" s="74"/>
      <x:c r="Q43" s="74"/>
      <x:c r="R43" s="74"/>
      <x:c r="S43" s="74"/>
      <x:c r="T43" s="74"/>
      <x:c r="U43" s="74"/>
      <x:c r="V43" s="74"/>
    </x:row>
    <x:row r="44">
      <x:c r="A44" s="74"/>
      <x:c r="B44" s="74"/>
      <x:c r="C44" s="74"/>
      <x:c r="D44" s="74"/>
      <x:c r="E44" s="74"/>
      <x:c r="F44" s="74"/>
      <x:c r="G44" s="74"/>
      <x:c r="H44" s="74"/>
      <x:c r="I44" s="74"/>
      <x:c r="J44" s="74"/>
      <x:c r="K44" s="74"/>
      <x:c r="L44" s="74"/>
      <x:c r="M44" s="74"/>
      <x:c r="N44" s="74"/>
      <x:c r="O44" s="74"/>
      <x:c r="P44" s="74"/>
      <x:c r="Q44" s="74"/>
      <x:c r="R44" s="74"/>
      <x:c r="S44" s="74"/>
      <x:c r="T44" s="74"/>
      <x:c r="U44" s="74"/>
      <x:c r="V44" s="74"/>
    </x:row>
    <x:row r="45">
      <x:c r="A45" s="74"/>
      <x:c r="B45" s="74"/>
      <x:c r="C45" s="74"/>
      <x:c r="D45" s="74"/>
      <x:c r="E45" s="74"/>
      <x:c r="F45" s="74"/>
      <x:c r="G45" s="74"/>
      <x:c r="H45" s="74"/>
      <x:c r="I45" s="74"/>
      <x:c r="J45" s="74"/>
      <x:c r="K45" s="74"/>
      <x:c r="L45" s="74"/>
      <x:c r="M45" s="74"/>
      <x:c r="N45" s="74"/>
      <x:c r="O45" s="74"/>
      <x:c r="P45" s="74"/>
      <x:c r="Q45" s="74"/>
      <x:c r="R45" s="74"/>
      <x:c r="S45" s="74"/>
      <x:c r="T45" s="74"/>
      <x:c r="U45" s="74"/>
      <x:c r="V45" s="74"/>
    </x:row>
    <x:row r="46">
      <x:c r="A46" s="74"/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4"/>
      <x:c r="M46" s="74"/>
      <x:c r="N46" s="74"/>
      <x:c r="O46" s="74"/>
      <x:c r="P46" s="74"/>
      <x:c r="Q46" s="74"/>
      <x:c r="R46" s="74"/>
      <x:c r="S46" s="74"/>
      <x:c r="T46" s="74"/>
      <x:c r="U46" s="74"/>
      <x:c r="V46" s="74"/>
    </x:row>
    <x:row r="47">
      <x:c r="A47" s="74"/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4"/>
      <x:c r="M47" s="74"/>
      <x:c r="N47" s="74"/>
      <x:c r="O47" s="74"/>
      <x:c r="P47" s="74"/>
      <x:c r="Q47" s="74"/>
      <x:c r="R47" s="74"/>
      <x:c r="S47" s="74"/>
      <x:c r="T47" s="74"/>
      <x:c r="U47" s="74"/>
      <x:c r="V47" s="74"/>
    </x:row>
    <x:row r="48">
      <x:c r="A48" s="74"/>
      <x:c r="B48" s="74"/>
      <x:c r="C48" s="74"/>
      <x:c r="D48" s="74"/>
      <x:c r="E48" s="74"/>
      <x:c r="F48" s="74"/>
      <x:c r="G48" s="74"/>
      <x:c r="H48" s="74"/>
      <x:c r="I48" s="74"/>
      <x:c r="J48" s="74"/>
      <x:c r="K48" s="74"/>
      <x:c r="L48" s="74"/>
      <x:c r="M48" s="74"/>
      <x:c r="N48" s="74"/>
      <x:c r="O48" s="74"/>
      <x:c r="P48" s="74"/>
      <x:c r="Q48" s="74"/>
      <x:c r="R48" s="74"/>
      <x:c r="S48" s="74"/>
      <x:c r="T48" s="74"/>
      <x:c r="U48" s="74"/>
      <x:c r="V48" s="74"/>
    </x:row>
    <x:row r="49">
      <x:c r="A49" s="74"/>
      <x:c r="B49" s="74"/>
      <x:c r="C49" s="74"/>
      <x:c r="D49" s="74"/>
      <x:c r="E49" s="74"/>
      <x:c r="F49" s="74"/>
      <x:c r="G49" s="74"/>
      <x:c r="H49" s="74"/>
      <x:c r="I49" s="74"/>
      <x:c r="J49" s="74"/>
      <x:c r="K49" s="74"/>
      <x:c r="L49" s="74"/>
      <x:c r="M49" s="74"/>
      <x:c r="N49" s="74"/>
      <x:c r="O49" s="74"/>
      <x:c r="P49" s="74"/>
      <x:c r="Q49" s="74"/>
      <x:c r="R49" s="74"/>
      <x:c r="S49" s="74"/>
      <x:c r="T49" s="74"/>
      <x:c r="U49" s="74"/>
      <x:c r="V49" s="74"/>
    </x:row>
    <x:row r="50">
      <x:c r="A50" s="74"/>
      <x:c r="B50" s="74"/>
      <x:c r="C50" s="74"/>
      <x:c r="D50" s="74"/>
      <x:c r="E50" s="74"/>
      <x:c r="F50" s="74"/>
      <x:c r="G50" s="74"/>
      <x:c r="H50" s="74"/>
      <x:c r="I50" s="74"/>
      <x:c r="J50" s="74"/>
      <x:c r="K50" s="74"/>
      <x:c r="L50" s="74"/>
      <x:c r="M50" s="74"/>
      <x:c r="N50" s="74"/>
      <x:c r="O50" s="74"/>
      <x:c r="P50" s="74"/>
      <x:c r="Q50" s="74"/>
      <x:c r="R50" s="74"/>
      <x:c r="S50" s="74"/>
      <x:c r="T50" s="74"/>
      <x:c r="U50" s="74"/>
      <x:c r="V50" s="74"/>
    </x:row>
    <x:row r="51">
      <x:c r="A51" s="74"/>
      <x:c r="B51" s="74"/>
      <x:c r="C51" s="74"/>
      <x:c r="D51" s="74"/>
      <x:c r="E51" s="74"/>
      <x:c r="F51" s="74"/>
      <x:c r="G51" s="74"/>
      <x:c r="H51" s="74"/>
      <x:c r="I51" s="74"/>
      <x:c r="J51" s="74"/>
      <x:c r="K51" s="74"/>
      <x:c r="L51" s="74"/>
      <x:c r="M51" s="74"/>
      <x:c r="N51" s="74"/>
      <x:c r="O51" s="74"/>
      <x:c r="P51" s="74"/>
      <x:c r="Q51" s="74"/>
      <x:c r="R51" s="74"/>
      <x:c r="S51" s="74"/>
      <x:c r="T51" s="74"/>
      <x:c r="U51" s="74"/>
      <x:c r="V51" s="74"/>
    </x:row>
    <x:row r="52">
      <x:c r="A52" s="74"/>
      <x:c r="B52" s="74"/>
      <x:c r="C52" s="74"/>
      <x:c r="D52" s="74"/>
      <x:c r="E52" s="74"/>
      <x:c r="F52" s="74"/>
      <x:c r="G52" s="74"/>
      <x:c r="H52" s="74"/>
      <x:c r="I52" s="74"/>
      <x:c r="J52" s="74"/>
      <x:c r="K52" s="74"/>
      <x:c r="L52" s="74"/>
      <x:c r="M52" s="74"/>
      <x:c r="N52" s="74"/>
      <x:c r="O52" s="74"/>
      <x:c r="P52" s="74"/>
      <x:c r="Q52" s="74"/>
      <x:c r="R52" s="74"/>
      <x:c r="S52" s="74"/>
      <x:c r="T52" s="74"/>
      <x:c r="U52" s="74"/>
      <x:c r="V52" s="74"/>
    </x:row>
    <x:row r="53">
      <x:c r="A53" s="74"/>
      <x:c r="B53" s="74"/>
      <x:c r="C53" s="74"/>
      <x:c r="D53" s="74"/>
      <x:c r="E53" s="74"/>
      <x:c r="F53" s="74"/>
      <x:c r="G53" s="74"/>
      <x:c r="H53" s="74"/>
      <x:c r="I53" s="74"/>
      <x:c r="J53" s="74"/>
      <x:c r="K53" s="74"/>
      <x:c r="L53" s="74"/>
      <x:c r="M53" s="74"/>
      <x:c r="N53" s="74"/>
      <x:c r="O53" s="74"/>
      <x:c r="P53" s="74"/>
      <x:c r="Q53" s="74"/>
      <x:c r="R53" s="74"/>
      <x:c r="S53" s="74"/>
      <x:c r="T53" s="74"/>
      <x:c r="U53" s="74"/>
      <x:c r="V53" s="74"/>
    </x:row>
    <x:row r="54">
      <x:c r="A54" s="74"/>
      <x:c r="B54" s="74"/>
      <x:c r="C54" s="74"/>
      <x:c r="D54" s="74"/>
      <x:c r="E54" s="74"/>
      <x:c r="F54" s="74"/>
      <x:c r="G54" s="74"/>
      <x:c r="H54" s="74"/>
      <x:c r="I54" s="74"/>
      <x:c r="J54" s="74"/>
      <x:c r="K54" s="74"/>
      <x:c r="L54" s="74"/>
      <x:c r="M54" s="74"/>
      <x:c r="N54" s="74"/>
      <x:c r="O54" s="74"/>
      <x:c r="P54" s="74"/>
      <x:c r="Q54" s="74"/>
      <x:c r="R54" s="74"/>
      <x:c r="S54" s="74"/>
      <x:c r="T54" s="74"/>
      <x:c r="U54" s="74"/>
      <x:c r="V54" s="74"/>
    </x:row>
    <x:row r="55">
      <x:c r="A55" s="74"/>
      <x:c r="B55" s="74"/>
      <x:c r="C55" s="74"/>
      <x:c r="D55" s="74"/>
      <x:c r="E55" s="74"/>
      <x:c r="F55" s="74"/>
      <x:c r="G55" s="74"/>
      <x:c r="H55" s="74"/>
      <x:c r="I55" s="74"/>
      <x:c r="J55" s="74"/>
      <x:c r="K55" s="74"/>
      <x:c r="L55" s="74"/>
      <x:c r="M55" s="74"/>
      <x:c r="N55" s="74"/>
      <x:c r="O55" s="74"/>
      <x:c r="P55" s="74"/>
      <x:c r="Q55" s="74"/>
      <x:c r="R55" s="74"/>
      <x:c r="S55" s="74"/>
      <x:c r="T55" s="74"/>
      <x:c r="U55" s="74"/>
      <x:c r="V55" s="74"/>
    </x:row>
    <x:row r="56">
      <x:c r="A56" s="74"/>
      <x:c r="B56" s="74"/>
      <x:c r="C56" s="74"/>
      <x:c r="D56" s="74"/>
      <x:c r="E56" s="74"/>
      <x:c r="F56" s="74"/>
      <x:c r="G56" s="74"/>
      <x:c r="H56" s="74"/>
      <x:c r="I56" s="74"/>
      <x:c r="J56" s="74"/>
      <x:c r="K56" s="74"/>
      <x:c r="L56" s="74"/>
      <x:c r="M56" s="74"/>
      <x:c r="N56" s="74"/>
      <x:c r="O56" s="74"/>
      <x:c r="P56" s="74"/>
      <x:c r="Q56" s="74"/>
      <x:c r="R56" s="74"/>
      <x:c r="S56" s="74"/>
      <x:c r="T56" s="74"/>
      <x:c r="U56" s="74"/>
      <x:c r="V56" s="74"/>
    </x:row>
    <x:row r="57">
      <x:c r="A57" s="74"/>
      <x:c r="B57" s="74"/>
      <x:c r="C57" s="74"/>
      <x:c r="D57" s="74"/>
      <x:c r="E57" s="74"/>
      <x:c r="F57" s="74"/>
      <x:c r="G57" s="74"/>
      <x:c r="H57" s="74"/>
      <x:c r="I57" s="74"/>
      <x:c r="J57" s="74"/>
      <x:c r="K57" s="74"/>
      <x:c r="L57" s="74"/>
      <x:c r="M57" s="74"/>
      <x:c r="N57" s="74"/>
      <x:c r="O57" s="74"/>
      <x:c r="P57" s="74"/>
      <x:c r="Q57" s="74"/>
      <x:c r="R57" s="74"/>
      <x:c r="S57" s="74"/>
      <x:c r="T57" s="74"/>
      <x:c r="U57" s="74"/>
      <x:c r="V57" s="74"/>
    </x:row>
    <x:row r="58">
      <x:c r="A58" s="74"/>
      <x:c r="B58" s="74"/>
      <x:c r="C58" s="74"/>
      <x:c r="D58" s="74"/>
      <x:c r="E58" s="74"/>
      <x:c r="F58" s="74"/>
      <x:c r="G58" s="74"/>
      <x:c r="H58" s="74"/>
      <x:c r="I58" s="74"/>
      <x:c r="J58" s="74"/>
      <x:c r="K58" s="74"/>
      <x:c r="L58" s="74"/>
      <x:c r="M58" s="74"/>
      <x:c r="N58" s="74"/>
      <x:c r="O58" s="74"/>
      <x:c r="P58" s="74"/>
      <x:c r="Q58" s="74"/>
      <x:c r="R58" s="74"/>
      <x:c r="S58" s="74"/>
      <x:c r="T58" s="74"/>
      <x:c r="U58" s="74"/>
      <x:c r="V58" s="74"/>
    </x:row>
    <x:row r="59">
      <x:c r="A59" s="74"/>
      <x:c r="B59" s="74"/>
      <x:c r="C59" s="74"/>
      <x:c r="D59" s="74"/>
      <x:c r="E59" s="74"/>
      <x:c r="F59" s="74"/>
      <x:c r="G59" s="74"/>
      <x:c r="H59" s="74"/>
      <x:c r="I59" s="74"/>
      <x:c r="J59" s="74"/>
      <x:c r="K59" s="74"/>
      <x:c r="L59" s="74"/>
      <x:c r="M59" s="74"/>
      <x:c r="N59" s="74"/>
      <x:c r="O59" s="74"/>
      <x:c r="P59" s="74"/>
      <x:c r="Q59" s="74"/>
      <x:c r="R59" s="74"/>
      <x:c r="S59" s="74"/>
      <x:c r="T59" s="74"/>
      <x:c r="U59" s="74"/>
      <x:c r="V59" s="74"/>
    </x:row>
    <x:row r="60">
      <x:c r="A60" s="74"/>
      <x:c r="B60" s="74"/>
      <x:c r="C60" s="74"/>
      <x:c r="D60" s="74"/>
      <x:c r="E60" s="74"/>
      <x:c r="F60" s="74"/>
      <x:c r="G60" s="74"/>
      <x:c r="H60" s="74"/>
      <x:c r="I60" s="74"/>
      <x:c r="J60" s="74"/>
      <x:c r="K60" s="74"/>
      <x:c r="L60" s="74"/>
      <x:c r="M60" s="74"/>
      <x:c r="N60" s="74"/>
      <x:c r="O60" s="74"/>
      <x:c r="P60" s="74"/>
      <x:c r="Q60" s="74"/>
      <x:c r="R60" s="74"/>
      <x:c r="S60" s="74"/>
      <x:c r="T60" s="74"/>
      <x:c r="U60" s="74"/>
      <x:c r="V60" s="74"/>
    </x:row>
    <x:row r="61">
      <x:c r="A61" s="74"/>
      <x:c r="B61" s="74"/>
      <x:c r="C61" s="74"/>
      <x:c r="D61" s="74"/>
      <x:c r="E61" s="74"/>
      <x:c r="F61" s="74"/>
      <x:c r="G61" s="74"/>
      <x:c r="H61" s="74"/>
      <x:c r="I61" s="74"/>
      <x:c r="J61" s="74"/>
      <x:c r="K61" s="74"/>
      <x:c r="L61" s="74"/>
      <x:c r="M61" s="74"/>
      <x:c r="N61" s="74"/>
      <x:c r="O61" s="74"/>
      <x:c r="P61" s="74"/>
      <x:c r="Q61" s="74"/>
      <x:c r="R61" s="74"/>
      <x:c r="S61" s="74"/>
      <x:c r="T61" s="74"/>
      <x:c r="U61" s="74"/>
      <x:c r="V61" s="74"/>
    </x:row>
    <x:row r="62">
      <x:c r="A62" s="74"/>
      <x:c r="B62" s="74"/>
      <x:c r="C62" s="74"/>
      <x:c r="D62" s="74"/>
      <x:c r="E62" s="74"/>
      <x:c r="F62" s="74"/>
      <x:c r="G62" s="74"/>
      <x:c r="H62" s="74"/>
      <x:c r="I62" s="74"/>
      <x:c r="J62" s="74"/>
      <x:c r="K62" s="74"/>
      <x:c r="L62" s="74"/>
      <x:c r="M62" s="74"/>
      <x:c r="N62" s="74"/>
      <x:c r="O62" s="74"/>
      <x:c r="P62" s="74"/>
      <x:c r="Q62" s="74"/>
      <x:c r="R62" s="74"/>
      <x:c r="S62" s="74"/>
      <x:c r="T62" s="74"/>
      <x:c r="U62" s="74"/>
      <x:c r="V62" s="74"/>
    </x:row>
    <x:row r="63">
      <x:c r="A63" s="74"/>
      <x:c r="B63" s="74"/>
      <x:c r="C63" s="74"/>
      <x:c r="D63" s="74"/>
      <x:c r="E63" s="74"/>
      <x:c r="F63" s="74"/>
      <x:c r="G63" s="74"/>
      <x:c r="H63" s="74"/>
      <x:c r="I63" s="74"/>
      <x:c r="J63" s="74"/>
      <x:c r="K63" s="74"/>
      <x:c r="L63" s="74"/>
      <x:c r="M63" s="74"/>
      <x:c r="N63" s="74"/>
      <x:c r="O63" s="74"/>
      <x:c r="P63" s="74"/>
      <x:c r="Q63" s="74"/>
      <x:c r="R63" s="74"/>
      <x:c r="S63" s="74"/>
      <x:c r="T63" s="74"/>
      <x:c r="U63" s="74"/>
      <x:c r="V63" s="74"/>
    </x:row>
    <x:row r="64">
      <x:c r="A64" s="74"/>
      <x:c r="B64" s="74"/>
      <x:c r="C64" s="74"/>
      <x:c r="D64" s="74"/>
      <x:c r="E64" s="74"/>
      <x:c r="F64" s="74"/>
      <x:c r="G64" s="74"/>
      <x:c r="H64" s="74"/>
      <x:c r="I64" s="74"/>
      <x:c r="J64" s="74"/>
      <x:c r="K64" s="74"/>
      <x:c r="L64" s="74"/>
      <x:c r="M64" s="74"/>
      <x:c r="N64" s="74"/>
      <x:c r="O64" s="74"/>
      <x:c r="P64" s="74"/>
      <x:c r="Q64" s="74"/>
      <x:c r="R64" s="74"/>
      <x:c r="S64" s="74"/>
      <x:c r="T64" s="74"/>
      <x:c r="U64" s="74"/>
      <x:c r="V64" s="74"/>
    </x:row>
    <x:row r="65">
      <x:c r="A65" s="74"/>
      <x:c r="B65" s="74"/>
      <x:c r="C65" s="74"/>
      <x:c r="D65" s="74"/>
      <x:c r="E65" s="74"/>
      <x:c r="F65" s="74"/>
      <x:c r="G65" s="74"/>
      <x:c r="H65" s="74"/>
      <x:c r="I65" s="74"/>
      <x:c r="J65" s="74"/>
      <x:c r="K65" s="74"/>
      <x:c r="L65" s="74"/>
      <x:c r="M65" s="74"/>
      <x:c r="N65" s="74"/>
      <x:c r="O65" s="74"/>
      <x:c r="P65" s="74"/>
      <x:c r="Q65" s="74"/>
      <x:c r="R65" s="74"/>
      <x:c r="S65" s="74"/>
      <x:c r="T65" s="74"/>
      <x:c r="U65" s="74"/>
      <x:c r="V65" s="74"/>
    </x:row>
    <x:row r="66">
      <x:c r="A66" s="74"/>
      <x:c r="B66" s="74"/>
      <x:c r="C66" s="74"/>
      <x:c r="D66" s="74"/>
      <x:c r="E66" s="74"/>
      <x:c r="F66" s="74"/>
      <x:c r="G66" s="74"/>
      <x:c r="H66" s="74"/>
      <x:c r="I66" s="74"/>
      <x:c r="J66" s="74"/>
      <x:c r="K66" s="74"/>
      <x:c r="L66" s="74"/>
      <x:c r="M66" s="74"/>
      <x:c r="N66" s="74"/>
      <x:c r="O66" s="74"/>
      <x:c r="P66" s="74"/>
      <x:c r="Q66" s="74"/>
      <x:c r="R66" s="74"/>
      <x:c r="S66" s="74"/>
      <x:c r="T66" s="74"/>
      <x:c r="U66" s="74"/>
      <x:c r="V66" s="74"/>
    </x:row>
    <x:row r="67">
      <x:c r="A67" s="74"/>
      <x:c r="B67" s="74"/>
      <x:c r="C67" s="74"/>
      <x:c r="D67" s="74"/>
      <x:c r="E67" s="74"/>
      <x:c r="F67" s="74"/>
      <x:c r="G67" s="74"/>
      <x:c r="H67" s="74"/>
      <x:c r="I67" s="74"/>
      <x:c r="J67" s="74"/>
      <x:c r="K67" s="74"/>
      <x:c r="L67" s="74"/>
      <x:c r="M67" s="74"/>
      <x:c r="N67" s="74"/>
      <x:c r="O67" s="74"/>
      <x:c r="P67" s="74"/>
      <x:c r="Q67" s="74"/>
      <x:c r="R67" s="74"/>
      <x:c r="S67" s="74"/>
      <x:c r="T67" s="74"/>
      <x:c r="U67" s="74"/>
      <x:c r="V67" s="74"/>
    </x:row>
    <x:row r="68">
      <x:c r="A68" s="74"/>
      <x:c r="B68" s="74"/>
      <x:c r="C68" s="74"/>
      <x:c r="D68" s="74"/>
      <x:c r="E68" s="74"/>
      <x:c r="F68" s="74"/>
      <x:c r="G68" s="74"/>
      <x:c r="H68" s="74"/>
      <x:c r="I68" s="74"/>
      <x:c r="J68" s="74"/>
      <x:c r="K68" s="74"/>
      <x:c r="L68" s="74"/>
      <x:c r="M68" s="74"/>
      <x:c r="N68" s="74"/>
      <x:c r="O68" s="74"/>
      <x:c r="P68" s="74"/>
      <x:c r="Q68" s="74"/>
      <x:c r="R68" s="74"/>
      <x:c r="S68" s="74"/>
      <x:c r="T68" s="74"/>
      <x:c r="U68" s="74"/>
      <x:c r="V68" s="74"/>
    </x:row>
    <x:row r="69">
      <x:c r="A69" s="74"/>
      <x:c r="B69" s="74"/>
      <x:c r="C69" s="74"/>
      <x:c r="D69" s="74"/>
      <x:c r="E69" s="74"/>
      <x:c r="F69" s="74"/>
      <x:c r="G69" s="74"/>
      <x:c r="H69" s="74"/>
      <x:c r="I69" s="74"/>
      <x:c r="J69" s="74"/>
      <x:c r="K69" s="74"/>
      <x:c r="L69" s="74"/>
      <x:c r="M69" s="74"/>
      <x:c r="N69" s="74"/>
      <x:c r="O69" s="74"/>
      <x:c r="P69" s="74"/>
      <x:c r="Q69" s="74"/>
      <x:c r="R69" s="74"/>
      <x:c r="S69" s="74"/>
      <x:c r="T69" s="74"/>
      <x:c r="U69" s="74"/>
      <x:c r="V69" s="74"/>
    </x:row>
    <x:row r="70">
      <x:c r="A70" s="74"/>
      <x:c r="B70" s="74"/>
      <x:c r="C70" s="74"/>
      <x:c r="D70" s="74"/>
      <x:c r="E70" s="74"/>
      <x:c r="F70" s="74"/>
      <x:c r="G70" s="74"/>
      <x:c r="H70" s="74"/>
      <x:c r="I70" s="74"/>
      <x:c r="J70" s="74"/>
      <x:c r="K70" s="74"/>
      <x:c r="L70" s="74"/>
      <x:c r="M70" s="74"/>
      <x:c r="N70" s="74"/>
      <x:c r="O70" s="74"/>
      <x:c r="P70" s="74"/>
      <x:c r="Q70" s="74"/>
      <x:c r="R70" s="74"/>
      <x:c r="S70" s="74"/>
      <x:c r="T70" s="74"/>
      <x:c r="U70" s="74"/>
      <x:c r="V70" s="74"/>
    </x:row>
    <x:row r="71">
      <x:c r="A71" s="74"/>
      <x:c r="B71" s="74"/>
      <x:c r="C71" s="74"/>
      <x:c r="D71" s="74"/>
      <x:c r="E71" s="74"/>
      <x:c r="F71" s="74"/>
      <x:c r="G71" s="74"/>
      <x:c r="H71" s="74"/>
      <x:c r="I71" s="74"/>
      <x:c r="J71" s="74"/>
      <x:c r="K71" s="74"/>
      <x:c r="L71" s="74"/>
      <x:c r="M71" s="74"/>
      <x:c r="N71" s="74"/>
      <x:c r="O71" s="74"/>
      <x:c r="P71" s="74"/>
      <x:c r="Q71" s="74"/>
      <x:c r="R71" s="74"/>
      <x:c r="S71" s="74"/>
      <x:c r="T71" s="74"/>
      <x:c r="U71" s="74"/>
      <x:c r="V71" s="74"/>
    </x:row>
    <x:row r="72">
      <x:c r="A72" s="74"/>
      <x:c r="B72" s="74"/>
      <x:c r="C72" s="74"/>
      <x:c r="D72" s="74"/>
      <x:c r="E72" s="74"/>
      <x:c r="F72" s="74"/>
      <x:c r="G72" s="74"/>
      <x:c r="H72" s="74"/>
      <x:c r="I72" s="74"/>
      <x:c r="J72" s="74"/>
      <x:c r="K72" s="74"/>
      <x:c r="L72" s="74"/>
      <x:c r="M72" s="74"/>
      <x:c r="N72" s="74"/>
      <x:c r="O72" s="74"/>
      <x:c r="P72" s="74"/>
      <x:c r="Q72" s="74"/>
      <x:c r="R72" s="74"/>
      <x:c r="S72" s="74"/>
      <x:c r="T72" s="74"/>
      <x:c r="U72" s="74"/>
      <x:c r="V72" s="74"/>
    </x:row>
    <x:row r="73">
      <x:c r="A73" s="74"/>
      <x:c r="B73" s="74"/>
      <x:c r="C73" s="74"/>
      <x:c r="D73" s="74"/>
      <x:c r="E73" s="74"/>
      <x:c r="F73" s="74"/>
      <x:c r="G73" s="74"/>
      <x:c r="H73" s="74"/>
      <x:c r="I73" s="74"/>
      <x:c r="J73" s="74"/>
      <x:c r="K73" s="74"/>
      <x:c r="L73" s="74"/>
      <x:c r="M73" s="74"/>
      <x:c r="N73" s="74"/>
      <x:c r="O73" s="74"/>
      <x:c r="P73" s="74"/>
      <x:c r="Q73" s="74"/>
      <x:c r="R73" s="74"/>
      <x:c r="S73" s="74"/>
      <x:c r="T73" s="74"/>
      <x:c r="U73" s="74"/>
      <x:c r="V73" s="74"/>
    </x:row>
    <x:row r="74">
      <x:c r="A74" s="74"/>
      <x:c r="B74" s="74"/>
      <x:c r="C74" s="74"/>
      <x:c r="D74" s="74"/>
      <x:c r="E74" s="74"/>
      <x:c r="F74" s="74"/>
      <x:c r="G74" s="74"/>
      <x:c r="H74" s="74"/>
      <x:c r="I74" s="74"/>
      <x:c r="J74" s="74"/>
      <x:c r="K74" s="74"/>
      <x:c r="L74" s="74"/>
      <x:c r="M74" s="74"/>
      <x:c r="N74" s="74"/>
      <x:c r="O74" s="74"/>
      <x:c r="P74" s="74"/>
      <x:c r="Q74" s="74"/>
      <x:c r="R74" s="74"/>
      <x:c r="S74" s="74"/>
      <x:c r="T74" s="74"/>
      <x:c r="U74" s="74"/>
      <x:c r="V74" s="74"/>
    </x:row>
    <x:row r="75">
      <x:c r="A75" s="74"/>
      <x:c r="B75" s="74"/>
      <x:c r="C75" s="74"/>
      <x:c r="D75" s="74"/>
      <x:c r="E75" s="74"/>
      <x:c r="F75" s="74"/>
      <x:c r="G75" s="74"/>
      <x:c r="H75" s="74"/>
      <x:c r="I75" s="74"/>
      <x:c r="J75" s="74"/>
      <x:c r="K75" s="74"/>
      <x:c r="L75" s="74"/>
      <x:c r="M75" s="74"/>
      <x:c r="N75" s="74"/>
      <x:c r="O75" s="74"/>
      <x:c r="P75" s="74"/>
      <x:c r="Q75" s="74"/>
      <x:c r="R75" s="74"/>
      <x:c r="S75" s="74"/>
      <x:c r="T75" s="74"/>
      <x:c r="U75" s="74"/>
      <x:c r="V75" s="74"/>
    </x:row>
    <x:row r="76">
      <x:c r="A76" s="74"/>
      <x:c r="B76" s="74"/>
      <x:c r="C76" s="74"/>
      <x:c r="D76" s="74"/>
      <x:c r="E76" s="74"/>
      <x:c r="F76" s="74"/>
      <x:c r="G76" s="74"/>
      <x:c r="H76" s="74"/>
      <x:c r="I76" s="74"/>
      <x:c r="J76" s="74"/>
      <x:c r="K76" s="74"/>
      <x:c r="L76" s="74"/>
      <x:c r="M76" s="74"/>
      <x:c r="N76" s="74"/>
      <x:c r="O76" s="74"/>
      <x:c r="P76" s="74"/>
      <x:c r="Q76" s="74"/>
      <x:c r="R76" s="74"/>
      <x:c r="S76" s="74"/>
      <x:c r="T76" s="74"/>
      <x:c r="U76" s="74"/>
      <x:c r="V76" s="74"/>
    </x:row>
    <x:row r="77">
      <x:c r="A77" s="74"/>
      <x:c r="B77" s="74"/>
      <x:c r="C77" s="74"/>
      <x:c r="D77" s="74"/>
      <x:c r="E77" s="74"/>
      <x:c r="F77" s="74"/>
      <x:c r="G77" s="74"/>
      <x:c r="H77" s="74"/>
      <x:c r="I77" s="74"/>
      <x:c r="J77" s="74"/>
      <x:c r="K77" s="74"/>
      <x:c r="L77" s="74"/>
      <x:c r="M77" s="74"/>
      <x:c r="N77" s="74"/>
      <x:c r="O77" s="74"/>
      <x:c r="P77" s="74"/>
      <x:c r="Q77" s="74"/>
      <x:c r="R77" s="74"/>
      <x:c r="S77" s="74"/>
      <x:c r="T77" s="74"/>
      <x:c r="U77" s="74"/>
      <x:c r="V77" s="74"/>
    </x:row>
    <x:row r="78">
      <x:c r="A78" s="74"/>
      <x:c r="B78" s="74"/>
      <x:c r="C78" s="74"/>
      <x:c r="D78" s="74"/>
      <x:c r="E78" s="74"/>
      <x:c r="F78" s="74"/>
      <x:c r="G78" s="74"/>
      <x:c r="H78" s="74"/>
      <x:c r="I78" s="74"/>
      <x:c r="J78" s="74"/>
      <x:c r="K78" s="74"/>
      <x:c r="L78" s="74"/>
      <x:c r="M78" s="74"/>
      <x:c r="N78" s="74"/>
      <x:c r="O78" s="74"/>
      <x:c r="P78" s="74"/>
      <x:c r="Q78" s="74"/>
      <x:c r="R78" s="74"/>
      <x:c r="S78" s="74"/>
      <x:c r="T78" s="74"/>
      <x:c r="U78" s="74"/>
      <x:c r="V78" s="74"/>
    </x:row>
    <x:row r="79">
      <x:c r="A79" s="74"/>
      <x:c r="B79" s="74"/>
      <x:c r="C79" s="74"/>
      <x:c r="D79" s="74"/>
      <x:c r="E79" s="74"/>
      <x:c r="F79" s="74"/>
      <x:c r="G79" s="74"/>
      <x:c r="H79" s="74"/>
      <x:c r="I79" s="74"/>
      <x:c r="J79" s="74"/>
      <x:c r="K79" s="74"/>
      <x:c r="L79" s="74"/>
      <x:c r="M79" s="74"/>
      <x:c r="N79" s="74"/>
      <x:c r="O79" s="74"/>
      <x:c r="P79" s="74"/>
      <x:c r="Q79" s="74"/>
      <x:c r="R79" s="74"/>
      <x:c r="S79" s="74"/>
      <x:c r="T79" s="74"/>
      <x:c r="U79" s="74"/>
      <x:c r="V79" s="74"/>
    </x:row>
    <x:row r="80">
      <x:c r="A80" s="74"/>
      <x:c r="B80" s="74"/>
      <x:c r="C80" s="74"/>
      <x:c r="D80" s="74"/>
      <x:c r="E80" s="74"/>
      <x:c r="F80" s="74"/>
      <x:c r="G80" s="74"/>
      <x:c r="H80" s="74"/>
      <x:c r="I80" s="74"/>
      <x:c r="J80" s="74"/>
      <x:c r="K80" s="74"/>
      <x:c r="L80" s="74"/>
      <x:c r="M80" s="74"/>
      <x:c r="N80" s="74"/>
      <x:c r="O80" s="74"/>
      <x:c r="P80" s="74"/>
      <x:c r="Q80" s="74"/>
      <x:c r="R80" s="74"/>
      <x:c r="S80" s="74"/>
      <x:c r="T80" s="74"/>
      <x:c r="U80" s="74"/>
      <x:c r="V80" s="74"/>
    </x:row>
    <x:row r="81">
      <x:c r="A81" s="74"/>
      <x:c r="B81" s="74"/>
      <x:c r="C81" s="74"/>
      <x:c r="D81" s="74"/>
      <x:c r="E81" s="74"/>
      <x:c r="F81" s="74"/>
      <x:c r="G81" s="74"/>
      <x:c r="H81" s="74"/>
      <x:c r="I81" s="74"/>
      <x:c r="J81" s="74"/>
      <x:c r="K81" s="74"/>
      <x:c r="L81" s="74"/>
      <x:c r="M81" s="74"/>
      <x:c r="N81" s="74"/>
      <x:c r="O81" s="74"/>
      <x:c r="P81" s="74"/>
      <x:c r="Q81" s="74"/>
      <x:c r="R81" s="74"/>
      <x:c r="S81" s="74"/>
      <x:c r="T81" s="74"/>
      <x:c r="U81" s="74"/>
      <x:c r="V81" s="74"/>
    </x:row>
    <x:row r="82">
      <x:c r="A82" s="74"/>
      <x:c r="B82" s="74"/>
      <x:c r="C82" s="74"/>
      <x:c r="D82" s="74"/>
      <x:c r="E82" s="74"/>
      <x:c r="F82" s="74"/>
      <x:c r="G82" s="74"/>
      <x:c r="H82" s="74"/>
      <x:c r="I82" s="74"/>
      <x:c r="J82" s="74"/>
      <x:c r="K82" s="74"/>
      <x:c r="L82" s="74"/>
      <x:c r="M82" s="74"/>
      <x:c r="N82" s="74"/>
      <x:c r="O82" s="74"/>
      <x:c r="P82" s="74"/>
      <x:c r="Q82" s="74"/>
      <x:c r="R82" s="74"/>
      <x:c r="S82" s="74"/>
      <x:c r="T82" s="74"/>
      <x:c r="U82" s="74"/>
      <x:c r="V82" s="74"/>
    </x:row>
    <x:row r="83">
      <x:c r="A83" s="74"/>
      <x:c r="B83" s="74"/>
      <x:c r="C83" s="74"/>
      <x:c r="D83" s="74"/>
      <x:c r="E83" s="74"/>
      <x:c r="F83" s="74"/>
      <x:c r="G83" s="74"/>
      <x:c r="H83" s="74"/>
      <x:c r="I83" s="74"/>
      <x:c r="J83" s="74"/>
      <x:c r="K83" s="74"/>
      <x:c r="L83" s="74"/>
      <x:c r="M83" s="74"/>
      <x:c r="N83" s="74"/>
      <x:c r="O83" s="74"/>
      <x:c r="P83" s="74"/>
      <x:c r="Q83" s="74"/>
      <x:c r="R83" s="74"/>
      <x:c r="S83" s="74"/>
      <x:c r="T83" s="74"/>
      <x:c r="U83" s="74"/>
      <x:c r="V83" s="74"/>
    </x:row>
    <x:row r="84">
      <x:c r="A84" s="74"/>
      <x:c r="B84" s="74"/>
      <x:c r="C84" s="74"/>
      <x:c r="D84" s="74"/>
      <x:c r="E84" s="74"/>
      <x:c r="F84" s="74"/>
      <x:c r="G84" s="74"/>
      <x:c r="H84" s="74"/>
      <x:c r="I84" s="74"/>
      <x:c r="J84" s="74"/>
      <x:c r="K84" s="74"/>
      <x:c r="L84" s="74"/>
      <x:c r="M84" s="74"/>
      <x:c r="N84" s="74"/>
      <x:c r="O84" s="74"/>
      <x:c r="P84" s="74"/>
      <x:c r="Q84" s="74"/>
      <x:c r="R84" s="74"/>
      <x:c r="S84" s="74"/>
      <x:c r="T84" s="74"/>
      <x:c r="U84" s="74"/>
      <x:c r="V84" s="74"/>
    </x:row>
    <x:row r="85">
      <x:c r="A85" s="74"/>
      <x:c r="B85" s="74"/>
      <x:c r="C85" s="74"/>
      <x:c r="D85" s="74"/>
      <x:c r="E85" s="74"/>
      <x:c r="F85" s="74"/>
      <x:c r="G85" s="74"/>
      <x:c r="H85" s="74"/>
      <x:c r="I85" s="74"/>
      <x:c r="J85" s="74"/>
      <x:c r="K85" s="74"/>
      <x:c r="L85" s="74"/>
      <x:c r="M85" s="74"/>
      <x:c r="N85" s="74"/>
      <x:c r="O85" s="74"/>
      <x:c r="P85" s="74"/>
      <x:c r="Q85" s="74"/>
      <x:c r="R85" s="74"/>
      <x:c r="S85" s="74"/>
      <x:c r="T85" s="74"/>
      <x:c r="U85" s="74"/>
      <x:c r="V85" s="74"/>
    </x:row>
    <x:row r="86">
      <x:c r="A86" s="74"/>
      <x:c r="B86" s="74"/>
      <x:c r="C86" s="74"/>
      <x:c r="D86" s="74"/>
      <x:c r="E86" s="74"/>
      <x:c r="F86" s="74"/>
      <x:c r="G86" s="74"/>
      <x:c r="H86" s="74"/>
      <x:c r="I86" s="74"/>
      <x:c r="J86" s="74"/>
      <x:c r="K86" s="74"/>
      <x:c r="L86" s="74"/>
      <x:c r="M86" s="74"/>
      <x:c r="N86" s="74"/>
      <x:c r="O86" s="74"/>
      <x:c r="P86" s="74"/>
      <x:c r="Q86" s="74"/>
      <x:c r="R86" s="74"/>
      <x:c r="S86" s="74"/>
      <x:c r="T86" s="74"/>
      <x:c r="U86" s="74"/>
      <x:c r="V86" s="74"/>
    </x:row>
    <x:row r="87">
      <x:c r="A87" s="74"/>
      <x:c r="B87" s="74"/>
      <x:c r="C87" s="74"/>
      <x:c r="D87" s="74"/>
      <x:c r="E87" s="74"/>
      <x:c r="F87" s="74"/>
      <x:c r="G87" s="74"/>
      <x:c r="H87" s="74"/>
      <x:c r="I87" s="74"/>
      <x:c r="J87" s="74"/>
      <x:c r="K87" s="74"/>
      <x:c r="L87" s="74"/>
      <x:c r="M87" s="74"/>
      <x:c r="N87" s="74"/>
      <x:c r="O87" s="74"/>
      <x:c r="P87" s="74"/>
      <x:c r="Q87" s="74"/>
      <x:c r="R87" s="74"/>
      <x:c r="S87" s="74"/>
      <x:c r="T87" s="74"/>
      <x:c r="U87" s="74"/>
      <x:c r="V87" s="74"/>
    </x:row>
    <x:row r="88">
      <x:c r="A88" s="74"/>
      <x:c r="B88" s="74"/>
      <x:c r="C88" s="74"/>
      <x:c r="D88" s="74"/>
      <x:c r="E88" s="74"/>
      <x:c r="F88" s="74"/>
      <x:c r="G88" s="74"/>
      <x:c r="H88" s="74"/>
      <x:c r="I88" s="74"/>
      <x:c r="J88" s="74"/>
      <x:c r="K88" s="74"/>
      <x:c r="L88" s="74"/>
      <x:c r="M88" s="74"/>
      <x:c r="N88" s="74"/>
      <x:c r="O88" s="74"/>
      <x:c r="P88" s="74"/>
      <x:c r="Q88" s="74"/>
      <x:c r="R88" s="74"/>
      <x:c r="S88" s="74"/>
      <x:c r="T88" s="74"/>
      <x:c r="U88" s="74"/>
      <x:c r="V88" s="74"/>
    </x:row>
    <x:row r="89">
      <x:c r="A89" s="74"/>
      <x:c r="B89" s="74"/>
      <x:c r="C89" s="74"/>
      <x:c r="D89" s="74"/>
      <x:c r="E89" s="74"/>
      <x:c r="F89" s="74"/>
      <x:c r="G89" s="74"/>
      <x:c r="H89" s="74"/>
      <x:c r="I89" s="74"/>
      <x:c r="J89" s="74"/>
      <x:c r="K89" s="74"/>
      <x:c r="L89" s="74"/>
      <x:c r="M89" s="74"/>
      <x:c r="N89" s="74"/>
      <x:c r="O89" s="74"/>
      <x:c r="P89" s="74"/>
      <x:c r="Q89" s="74"/>
      <x:c r="R89" s="74"/>
      <x:c r="S89" s="74"/>
      <x:c r="T89" s="74"/>
      <x:c r="U89" s="74"/>
      <x:c r="V89" s="74"/>
    </x:row>
    <x:row r="90">
      <x:c r="A90" s="74"/>
      <x:c r="B90" s="74"/>
      <x:c r="C90" s="74"/>
      <x:c r="D90" s="74"/>
      <x:c r="E90" s="74"/>
      <x:c r="F90" s="74"/>
      <x:c r="G90" s="74"/>
      <x:c r="H90" s="74"/>
      <x:c r="I90" s="74"/>
      <x:c r="J90" s="74"/>
      <x:c r="K90" s="74"/>
      <x:c r="L90" s="74"/>
      <x:c r="M90" s="74"/>
      <x:c r="N90" s="74"/>
      <x:c r="O90" s="74"/>
      <x:c r="P90" s="74"/>
      <x:c r="Q90" s="74"/>
      <x:c r="R90" s="74"/>
      <x:c r="S90" s="74"/>
      <x:c r="T90" s="74"/>
      <x:c r="U90" s="74"/>
      <x:c r="V90" s="74"/>
    </x:row>
    <x:row r="91">
      <x:c r="A91" s="74"/>
      <x:c r="B91" s="74"/>
      <x:c r="C91" s="74"/>
      <x:c r="D91" s="74"/>
      <x:c r="E91" s="74"/>
      <x:c r="F91" s="74"/>
      <x:c r="G91" s="74"/>
      <x:c r="H91" s="74"/>
      <x:c r="I91" s="74"/>
      <x:c r="J91" s="74"/>
      <x:c r="K91" s="74"/>
      <x:c r="L91" s="74"/>
      <x:c r="M91" s="74"/>
      <x:c r="N91" s="74"/>
      <x:c r="O91" s="74"/>
      <x:c r="P91" s="74"/>
      <x:c r="Q91" s="74"/>
      <x:c r="R91" s="74"/>
      <x:c r="S91" s="74"/>
      <x:c r="T91" s="74"/>
      <x:c r="U91" s="74"/>
      <x:c r="V91" s="74"/>
    </x:row>
    <x:row r="92">
      <x:c r="A92" s="74"/>
      <x:c r="B92" s="74"/>
      <x:c r="C92" s="74"/>
      <x:c r="D92" s="74"/>
      <x:c r="E92" s="74"/>
      <x:c r="F92" s="74"/>
      <x:c r="G92" s="74"/>
      <x:c r="H92" s="74"/>
      <x:c r="I92" s="74"/>
      <x:c r="J92" s="74"/>
      <x:c r="K92" s="74"/>
      <x:c r="L92" s="74"/>
      <x:c r="M92" s="74"/>
      <x:c r="N92" s="74"/>
      <x:c r="O92" s="74"/>
      <x:c r="P92" s="74"/>
      <x:c r="Q92" s="74"/>
      <x:c r="R92" s="74"/>
      <x:c r="S92" s="74"/>
      <x:c r="T92" s="74"/>
      <x:c r="U92" s="74"/>
      <x:c r="V92" s="74"/>
    </x:row>
    <x:row r="93">
      <x:c r="A93" s="74"/>
      <x:c r="B93" s="74"/>
      <x:c r="C93" s="74"/>
      <x:c r="D93" s="74"/>
      <x:c r="E93" s="74"/>
      <x:c r="F93" s="74"/>
      <x:c r="G93" s="74"/>
      <x:c r="H93" s="74"/>
      <x:c r="I93" s="74"/>
      <x:c r="J93" s="74"/>
      <x:c r="K93" s="74"/>
      <x:c r="L93" s="74"/>
      <x:c r="M93" s="74"/>
      <x:c r="N93" s="74"/>
      <x:c r="O93" s="74"/>
      <x:c r="P93" s="74"/>
      <x:c r="Q93" s="74"/>
      <x:c r="R93" s="74"/>
      <x:c r="S93" s="74"/>
      <x:c r="T93" s="74"/>
      <x:c r="U93" s="74"/>
      <x:c r="V93" s="74"/>
    </x:row>
    <x:row r="94">
      <x:c r="A94" s="74"/>
      <x:c r="B94" s="74"/>
      <x:c r="C94" s="74"/>
      <x:c r="D94" s="74"/>
      <x:c r="E94" s="74"/>
      <x:c r="F94" s="74"/>
      <x:c r="G94" s="74"/>
      <x:c r="H94" s="74"/>
      <x:c r="I94" s="74"/>
      <x:c r="J94" s="74"/>
      <x:c r="K94" s="74"/>
      <x:c r="L94" s="74"/>
      <x:c r="M94" s="74"/>
      <x:c r="N94" s="74"/>
      <x:c r="O94" s="74"/>
      <x:c r="P94" s="74"/>
      <x:c r="Q94" s="74"/>
      <x:c r="R94" s="74"/>
      <x:c r="S94" s="74"/>
      <x:c r="T94" s="74"/>
      <x:c r="U94" s="74"/>
      <x:c r="V94" s="74"/>
    </x:row>
    <x:row r="95">
      <x:c r="A95" s="74"/>
      <x:c r="B95" s="74"/>
      <x:c r="C95" s="74"/>
      <x:c r="D95" s="74"/>
      <x:c r="E95" s="74"/>
      <x:c r="F95" s="74"/>
      <x:c r="G95" s="74"/>
      <x:c r="H95" s="74"/>
      <x:c r="I95" s="74"/>
      <x:c r="J95" s="74"/>
      <x:c r="K95" s="74"/>
      <x:c r="L95" s="74"/>
      <x:c r="M95" s="74"/>
      <x:c r="N95" s="74"/>
      <x:c r="O95" s="74"/>
      <x:c r="P95" s="74"/>
      <x:c r="Q95" s="74"/>
      <x:c r="R95" s="74"/>
      <x:c r="S95" s="74"/>
      <x:c r="T95" s="74"/>
      <x:c r="U95" s="74"/>
      <x:c r="V95" s="74"/>
    </x:row>
    <x:row r="96">
      <x:c r="A96" s="74"/>
      <x:c r="B96" s="74"/>
      <x:c r="C96" s="74"/>
      <x:c r="D96" s="74"/>
      <x:c r="E96" s="74"/>
      <x:c r="F96" s="74"/>
      <x:c r="G96" s="74"/>
      <x:c r="H96" s="74"/>
      <x:c r="I96" s="74"/>
      <x:c r="J96" s="74"/>
      <x:c r="K96" s="74"/>
      <x:c r="L96" s="74"/>
      <x:c r="M96" s="74"/>
      <x:c r="N96" s="74"/>
      <x:c r="O96" s="74"/>
      <x:c r="P96" s="74"/>
      <x:c r="Q96" s="74"/>
      <x:c r="R96" s="74"/>
      <x:c r="S96" s="74"/>
      <x:c r="T96" s="74"/>
      <x:c r="U96" s="74"/>
      <x:c r="V96" s="74"/>
    </x:row>
    <x:row r="97">
      <x:c r="A97" s="74"/>
      <x:c r="B97" s="74"/>
      <x:c r="C97" s="74"/>
      <x:c r="D97" s="74"/>
      <x:c r="E97" s="74"/>
      <x:c r="F97" s="74"/>
      <x:c r="G97" s="74"/>
      <x:c r="H97" s="74"/>
      <x:c r="I97" s="74"/>
      <x:c r="J97" s="74"/>
      <x:c r="K97" s="74"/>
      <x:c r="L97" s="74"/>
      <x:c r="M97" s="74"/>
      <x:c r="N97" s="74"/>
      <x:c r="O97" s="74"/>
      <x:c r="P97" s="74"/>
      <x:c r="Q97" s="74"/>
      <x:c r="R97" s="74"/>
      <x:c r="S97" s="74"/>
      <x:c r="T97" s="74"/>
      <x:c r="U97" s="74"/>
      <x:c r="V97" s="74"/>
    </x:row>
    <x:row r="98">
      <x:c r="A98" s="74"/>
      <x:c r="B98" s="74"/>
      <x:c r="C98" s="74"/>
      <x:c r="D98" s="74"/>
      <x:c r="E98" s="74"/>
      <x:c r="F98" s="74"/>
      <x:c r="G98" s="74"/>
      <x:c r="H98" s="74"/>
      <x:c r="I98" s="74"/>
      <x:c r="J98" s="74"/>
      <x:c r="K98" s="74"/>
      <x:c r="L98" s="74"/>
      <x:c r="M98" s="74"/>
      <x:c r="N98" s="74"/>
      <x:c r="O98" s="74"/>
      <x:c r="P98" s="74"/>
      <x:c r="Q98" s="74"/>
      <x:c r="R98" s="74"/>
      <x:c r="S98" s="74"/>
      <x:c r="T98" s="74"/>
      <x:c r="U98" s="74"/>
      <x:c r="V98" s="74"/>
    </x:row>
    <x:row r="99">
      <x:c r="A99" s="74"/>
      <x:c r="B99" s="74"/>
      <x:c r="C99" s="74"/>
      <x:c r="D99" s="74"/>
      <x:c r="E99" s="74"/>
      <x:c r="F99" s="74"/>
      <x:c r="G99" s="74"/>
      <x:c r="H99" s="74"/>
      <x:c r="I99" s="74"/>
      <x:c r="J99" s="74"/>
      <x:c r="K99" s="74"/>
      <x:c r="L99" s="74"/>
      <x:c r="M99" s="74"/>
      <x:c r="N99" s="74"/>
      <x:c r="O99" s="74"/>
      <x:c r="P99" s="74"/>
      <x:c r="Q99" s="74"/>
      <x:c r="R99" s="74"/>
      <x:c r="S99" s="74"/>
      <x:c r="T99" s="74"/>
      <x:c r="U99" s="74"/>
      <x:c r="V99" s="74"/>
    </x:row>
    <x:row r="100">
      <x:c r="A100" s="74"/>
      <x:c r="B100" s="74"/>
      <x:c r="C100" s="74"/>
      <x:c r="D100" s="74"/>
      <x:c r="E100" s="74"/>
      <x:c r="F100" s="74"/>
      <x:c r="G100" s="74"/>
      <x:c r="H100" s="74"/>
      <x:c r="I100" s="74"/>
      <x:c r="J100" s="74"/>
      <x:c r="K100" s="74"/>
      <x:c r="L100" s="74"/>
      <x:c r="M100" s="74"/>
      <x:c r="N100" s="74"/>
      <x:c r="O100" s="74"/>
      <x:c r="P100" s="74"/>
      <x:c r="Q100" s="74"/>
      <x:c r="R100" s="74"/>
      <x:c r="S100" s="74"/>
      <x:c r="T100" s="74"/>
      <x:c r="U100" s="74"/>
      <x:c r="V100" s="74"/>
    </x:row>
    <x:row r="101">
      <x:c r="A101" s="74"/>
      <x:c r="B101" s="74"/>
      <x:c r="C101" s="74"/>
      <x:c r="D101" s="74"/>
      <x:c r="E101" s="74"/>
      <x:c r="F101" s="74"/>
      <x:c r="G101" s="74"/>
      <x:c r="H101" s="74"/>
      <x:c r="I101" s="74"/>
      <x:c r="J101" s="74"/>
      <x:c r="K101" s="74"/>
      <x:c r="L101" s="74"/>
      <x:c r="M101" s="74"/>
      <x:c r="N101" s="74"/>
      <x:c r="O101" s="74"/>
      <x:c r="P101" s="74"/>
      <x:c r="Q101" s="74"/>
      <x:c r="R101" s="74"/>
      <x:c r="S101" s="74"/>
      <x:c r="T101" s="74"/>
      <x:c r="U101" s="74"/>
      <x:c r="V101" s="74"/>
    </x:row>
    <x:row r="102">
      <x:c r="A102" s="74"/>
      <x:c r="B102" s="74"/>
      <x:c r="C102" s="74"/>
      <x:c r="D102" s="74"/>
      <x:c r="E102" s="74"/>
      <x:c r="F102" s="74"/>
      <x:c r="G102" s="74"/>
      <x:c r="H102" s="74"/>
      <x:c r="I102" s="74"/>
      <x:c r="J102" s="74"/>
      <x:c r="K102" s="74"/>
      <x:c r="L102" s="74"/>
      <x:c r="M102" s="74"/>
      <x:c r="N102" s="74"/>
      <x:c r="O102" s="74"/>
      <x:c r="P102" s="74"/>
      <x:c r="Q102" s="74"/>
      <x:c r="R102" s="74"/>
      <x:c r="S102" s="74"/>
      <x:c r="T102" s="74"/>
      <x:c r="U102" s="74"/>
      <x:c r="V102" s="74"/>
    </x:row>
    <x:row r="103">
      <x:c r="A103" s="74"/>
      <x:c r="B103" s="74"/>
      <x:c r="C103" s="74"/>
      <x:c r="D103" s="74"/>
      <x:c r="E103" s="74"/>
      <x:c r="F103" s="74"/>
      <x:c r="G103" s="74"/>
      <x:c r="H103" s="74"/>
      <x:c r="I103" s="74"/>
      <x:c r="J103" s="74"/>
      <x:c r="K103" s="74"/>
      <x:c r="L103" s="74"/>
      <x:c r="M103" s="74"/>
      <x:c r="N103" s="74"/>
      <x:c r="O103" s="74"/>
      <x:c r="P103" s="74"/>
      <x:c r="Q103" s="74"/>
      <x:c r="R103" s="74"/>
      <x:c r="S103" s="74"/>
      <x:c r="T103" s="74"/>
      <x:c r="U103" s="74"/>
      <x:c r="V103" s="74"/>
    </x:row>
    <x:row r="104">
      <x:c r="A104" s="74"/>
      <x:c r="B104" s="74"/>
      <x:c r="C104" s="74"/>
      <x:c r="D104" s="74"/>
      <x:c r="E104" s="74"/>
      <x:c r="F104" s="74"/>
      <x:c r="G104" s="74"/>
      <x:c r="H104" s="74"/>
      <x:c r="I104" s="74"/>
      <x:c r="J104" s="74"/>
      <x:c r="K104" s="74"/>
      <x:c r="L104" s="74"/>
      <x:c r="M104" s="74"/>
      <x:c r="N104" s="74"/>
      <x:c r="O104" s="74"/>
      <x:c r="P104" s="74"/>
      <x:c r="Q104" s="74"/>
      <x:c r="R104" s="74"/>
      <x:c r="S104" s="74"/>
      <x:c r="T104" s="74"/>
      <x:c r="U104" s="74"/>
      <x:c r="V104" s="74"/>
    </x:row>
    <x:row r="105">
      <x:c r="A105" s="74"/>
      <x:c r="B105" s="74"/>
      <x:c r="C105" s="74"/>
      <x:c r="D105" s="74"/>
      <x:c r="E105" s="74"/>
      <x:c r="F105" s="74"/>
      <x:c r="G105" s="74"/>
      <x:c r="H105" s="74"/>
      <x:c r="I105" s="74"/>
      <x:c r="J105" s="74"/>
      <x:c r="K105" s="74"/>
      <x:c r="L105" s="74"/>
      <x:c r="M105" s="74"/>
      <x:c r="N105" s="74"/>
      <x:c r="O105" s="74"/>
      <x:c r="P105" s="74"/>
      <x:c r="Q105" s="74"/>
      <x:c r="R105" s="74"/>
      <x:c r="S105" s="74"/>
      <x:c r="T105" s="74"/>
      <x:c r="U105" s="74"/>
      <x:c r="V105" s="74"/>
    </x:row>
    <x:row r="106">
      <x:c r="A106" s="74"/>
      <x:c r="B106" s="74"/>
      <x:c r="C106" s="74"/>
      <x:c r="D106" s="74"/>
      <x:c r="E106" s="74"/>
      <x:c r="F106" s="74"/>
      <x:c r="G106" s="74"/>
      <x:c r="H106" s="74"/>
      <x:c r="I106" s="74"/>
      <x:c r="J106" s="74"/>
      <x:c r="K106" s="74"/>
      <x:c r="L106" s="74"/>
      <x:c r="M106" s="74"/>
      <x:c r="N106" s="74"/>
      <x:c r="O106" s="74"/>
      <x:c r="P106" s="74"/>
      <x:c r="Q106" s="74"/>
      <x:c r="R106" s="74"/>
      <x:c r="S106" s="74"/>
      <x:c r="T106" s="74"/>
      <x:c r="U106" s="74"/>
      <x:c r="V106" s="74"/>
    </x:row>
    <x:row r="107">
      <x:c r="A107" s="74"/>
      <x:c r="B107" s="74"/>
      <x:c r="C107" s="74"/>
      <x:c r="D107" s="74"/>
      <x:c r="E107" s="74"/>
      <x:c r="F107" s="74"/>
      <x:c r="G107" s="74"/>
      <x:c r="H107" s="74"/>
      <x:c r="I107" s="74"/>
      <x:c r="J107" s="74"/>
      <x:c r="K107" s="74"/>
      <x:c r="L107" s="74"/>
      <x:c r="M107" s="74"/>
      <x:c r="N107" s="74"/>
      <x:c r="O107" s="74"/>
      <x:c r="P107" s="74"/>
      <x:c r="Q107" s="74"/>
      <x:c r="R107" s="74"/>
      <x:c r="S107" s="74"/>
      <x:c r="T107" s="74"/>
      <x:c r="U107" s="74"/>
      <x:c r="V107" s="74"/>
    </x:row>
    <x:row r="108">
      <x:c r="A108" s="74"/>
      <x:c r="B108" s="74"/>
      <x:c r="C108" s="74"/>
      <x:c r="D108" s="74"/>
      <x:c r="E108" s="74"/>
      <x:c r="F108" s="74"/>
      <x:c r="G108" s="74"/>
      <x:c r="H108" s="74"/>
      <x:c r="I108" s="74"/>
      <x:c r="J108" s="74"/>
      <x:c r="K108" s="74"/>
      <x:c r="L108" s="74"/>
      <x:c r="M108" s="74"/>
      <x:c r="N108" s="74"/>
      <x:c r="O108" s="74"/>
      <x:c r="P108" s="74"/>
      <x:c r="Q108" s="74"/>
      <x:c r="R108" s="74"/>
      <x:c r="S108" s="74"/>
      <x:c r="T108" s="74"/>
      <x:c r="U108" s="74"/>
      <x:c r="V108" s="74"/>
    </x:row>
    <x:row r="109">
      <x:c r="A109" s="74"/>
      <x:c r="B109" s="74"/>
      <x:c r="C109" s="74"/>
      <x:c r="D109" s="74"/>
      <x:c r="E109" s="74"/>
      <x:c r="F109" s="74"/>
      <x:c r="G109" s="74"/>
      <x:c r="H109" s="74"/>
      <x:c r="I109" s="74"/>
      <x:c r="J109" s="74"/>
      <x:c r="K109" s="74"/>
      <x:c r="L109" s="74"/>
      <x:c r="M109" s="74"/>
      <x:c r="N109" s="74"/>
      <x:c r="O109" s="74"/>
      <x:c r="P109" s="74"/>
      <x:c r="Q109" s="74"/>
      <x:c r="R109" s="74"/>
      <x:c r="S109" s="74"/>
      <x:c r="T109" s="74"/>
      <x:c r="U109" s="74"/>
      <x:c r="V109" s="74"/>
    </x:row>
    <x:row r="110">
      <x:c r="A110" s="74"/>
      <x:c r="B110" s="74"/>
      <x:c r="C110" s="74"/>
      <x:c r="D110" s="74"/>
      <x:c r="E110" s="74"/>
      <x:c r="F110" s="74"/>
      <x:c r="G110" s="74"/>
      <x:c r="H110" s="74"/>
      <x:c r="I110" s="74"/>
      <x:c r="J110" s="74"/>
      <x:c r="K110" s="74"/>
      <x:c r="L110" s="74"/>
      <x:c r="M110" s="74"/>
      <x:c r="N110" s="74"/>
      <x:c r="O110" s="74"/>
      <x:c r="P110" s="74"/>
      <x:c r="Q110" s="74"/>
      <x:c r="R110" s="74"/>
      <x:c r="S110" s="74"/>
      <x:c r="T110" s="74"/>
      <x:c r="U110" s="74"/>
      <x:c r="V110" s="74"/>
    </x:row>
    <x:row r="111">
      <x:c r="A111" s="74"/>
      <x:c r="B111" s="74"/>
      <x:c r="C111" s="74"/>
      <x:c r="D111" s="74"/>
      <x:c r="E111" s="74"/>
      <x:c r="F111" s="74"/>
      <x:c r="G111" s="74"/>
      <x:c r="H111" s="74"/>
      <x:c r="I111" s="74"/>
      <x:c r="J111" s="74"/>
      <x:c r="K111" s="74"/>
      <x:c r="L111" s="74"/>
      <x:c r="M111" s="74"/>
      <x:c r="N111" s="74"/>
      <x:c r="O111" s="74"/>
      <x:c r="P111" s="74"/>
      <x:c r="Q111" s="74"/>
      <x:c r="R111" s="74"/>
      <x:c r="S111" s="74"/>
      <x:c r="T111" s="74"/>
      <x:c r="U111" s="74"/>
      <x:c r="V111" s="74"/>
    </x:row>
    <x:row r="112">
      <x:c r="A112" s="74"/>
      <x:c r="B112" s="74"/>
      <x:c r="C112" s="74"/>
      <x:c r="D112" s="74"/>
      <x:c r="E112" s="74"/>
      <x:c r="F112" s="74"/>
      <x:c r="G112" s="74"/>
      <x:c r="H112" s="74"/>
      <x:c r="I112" s="74"/>
      <x:c r="J112" s="74"/>
      <x:c r="K112" s="74"/>
      <x:c r="L112" s="74"/>
      <x:c r="M112" s="74"/>
      <x:c r="N112" s="74"/>
      <x:c r="O112" s="74"/>
      <x:c r="P112" s="74"/>
      <x:c r="Q112" s="74"/>
      <x:c r="R112" s="74"/>
      <x:c r="S112" s="74"/>
      <x:c r="T112" s="74"/>
      <x:c r="U112" s="74"/>
      <x:c r="V112" s="74"/>
    </x:row>
    <x:row r="113">
      <x:c r="A113" s="74"/>
      <x:c r="B113" s="74"/>
      <x:c r="C113" s="74"/>
      <x:c r="D113" s="74"/>
      <x:c r="E113" s="74"/>
      <x:c r="F113" s="74"/>
      <x:c r="G113" s="74"/>
      <x:c r="H113" s="74"/>
      <x:c r="I113" s="74"/>
      <x:c r="J113" s="74"/>
      <x:c r="K113" s="74"/>
      <x:c r="L113" s="74"/>
      <x:c r="M113" s="74"/>
      <x:c r="N113" s="74"/>
      <x:c r="O113" s="74"/>
      <x:c r="P113" s="74"/>
      <x:c r="Q113" s="74"/>
      <x:c r="R113" s="74"/>
      <x:c r="S113" s="74"/>
      <x:c r="T113" s="74"/>
      <x:c r="U113" s="74"/>
      <x:c r="V113" s="74"/>
    </x:row>
    <x:row r="114">
      <x:c r="A114" s="74"/>
      <x:c r="B114" s="74"/>
      <x:c r="C114" s="74"/>
      <x:c r="D114" s="74"/>
      <x:c r="E114" s="74"/>
      <x:c r="F114" s="74"/>
      <x:c r="G114" s="74"/>
      <x:c r="H114" s="74"/>
      <x:c r="I114" s="74"/>
      <x:c r="J114" s="74"/>
      <x:c r="K114" s="74"/>
      <x:c r="L114" s="74"/>
      <x:c r="M114" s="74"/>
      <x:c r="N114" s="74"/>
      <x:c r="O114" s="74"/>
      <x:c r="P114" s="74"/>
      <x:c r="Q114" s="74"/>
      <x:c r="R114" s="74"/>
      <x:c r="S114" s="74"/>
      <x:c r="T114" s="74"/>
      <x:c r="U114" s="74"/>
      <x:c r="V114" s="74"/>
    </x:row>
    <x:row r="115">
      <x:c r="A115" s="74"/>
      <x:c r="B115" s="74"/>
      <x:c r="C115" s="74"/>
      <x:c r="D115" s="74"/>
      <x:c r="E115" s="74"/>
      <x:c r="F115" s="74"/>
      <x:c r="G115" s="74"/>
      <x:c r="H115" s="74"/>
      <x:c r="I115" s="74"/>
      <x:c r="J115" s="74"/>
      <x:c r="K115" s="74"/>
      <x:c r="L115" s="74"/>
      <x:c r="M115" s="74"/>
      <x:c r="N115" s="74"/>
      <x:c r="O115" s="74"/>
      <x:c r="P115" s="74"/>
      <x:c r="Q115" s="74"/>
      <x:c r="R115" s="74"/>
      <x:c r="S115" s="74"/>
      <x:c r="T115" s="74"/>
      <x:c r="U115" s="74"/>
      <x:c r="V115" s="74"/>
    </x:row>
    <x:row r="116">
      <x:c r="A116" s="74"/>
      <x:c r="B116" s="74"/>
      <x:c r="C116" s="74"/>
      <x:c r="D116" s="74"/>
      <x:c r="E116" s="74"/>
      <x:c r="F116" s="74"/>
      <x:c r="G116" s="74"/>
      <x:c r="H116" s="74"/>
      <x:c r="I116" s="74"/>
      <x:c r="J116" s="74"/>
      <x:c r="K116" s="74"/>
      <x:c r="L116" s="74"/>
      <x:c r="M116" s="74"/>
      <x:c r="N116" s="74"/>
      <x:c r="O116" s="74"/>
      <x:c r="P116" s="74"/>
      <x:c r="Q116" s="74"/>
      <x:c r="R116" s="74"/>
      <x:c r="S116" s="74"/>
      <x:c r="T116" s="74"/>
      <x:c r="U116" s="74"/>
      <x:c r="V116" s="74"/>
    </x:row>
    <x:row r="117">
      <x:c r="A117" s="74"/>
      <x:c r="B117" s="74"/>
      <x:c r="C117" s="74"/>
      <x:c r="D117" s="74"/>
      <x:c r="E117" s="74"/>
      <x:c r="F117" s="74"/>
      <x:c r="G117" s="74"/>
      <x:c r="H117" s="74"/>
      <x:c r="I117" s="74"/>
      <x:c r="J117" s="74"/>
      <x:c r="K117" s="74"/>
      <x:c r="L117" s="74"/>
      <x:c r="M117" s="74"/>
      <x:c r="N117" s="74"/>
      <x:c r="O117" s="74"/>
      <x:c r="P117" s="74"/>
      <x:c r="Q117" s="74"/>
      <x:c r="R117" s="74"/>
      <x:c r="S117" s="74"/>
      <x:c r="T117" s="74"/>
      <x:c r="U117" s="74"/>
      <x:c r="V117" s="74"/>
    </x:row>
    <x:row r="118">
      <x:c r="A118" s="74"/>
      <x:c r="B118" s="74"/>
      <x:c r="C118" s="74"/>
      <x:c r="D118" s="74"/>
      <x:c r="E118" s="74"/>
      <x:c r="F118" s="74"/>
      <x:c r="G118" s="74"/>
      <x:c r="H118" s="74"/>
      <x:c r="I118" s="74"/>
      <x:c r="J118" s="74"/>
      <x:c r="K118" s="74"/>
      <x:c r="L118" s="74"/>
      <x:c r="M118" s="74"/>
      <x:c r="N118" s="74"/>
      <x:c r="O118" s="74"/>
      <x:c r="P118" s="74"/>
      <x:c r="Q118" s="74"/>
      <x:c r="R118" s="74"/>
      <x:c r="S118" s="74"/>
      <x:c r="T118" s="74"/>
      <x:c r="U118" s="74"/>
      <x:c r="V118" s="74"/>
    </x:row>
    <x:row r="119">
      <x:c r="A119" s="74"/>
      <x:c r="B119" s="74"/>
      <x:c r="C119" s="74"/>
      <x:c r="D119" s="74"/>
      <x:c r="E119" s="74"/>
      <x:c r="F119" s="74"/>
      <x:c r="G119" s="74"/>
      <x:c r="H119" s="74"/>
      <x:c r="I119" s="74"/>
      <x:c r="J119" s="74"/>
      <x:c r="K119" s="74"/>
      <x:c r="L119" s="74"/>
      <x:c r="M119" s="74"/>
      <x:c r="N119" s="74"/>
      <x:c r="O119" s="74"/>
      <x:c r="P119" s="74"/>
      <x:c r="Q119" s="74"/>
      <x:c r="R119" s="74"/>
      <x:c r="S119" s="74"/>
      <x:c r="T119" s="74"/>
      <x:c r="U119" s="74"/>
      <x:c r="V119" s="74"/>
    </x:row>
    <x:row r="120">
      <x:c r="A120" s="74"/>
      <x:c r="B120" s="74"/>
      <x:c r="C120" s="74"/>
      <x:c r="D120" s="74"/>
      <x:c r="E120" s="74"/>
      <x:c r="F120" s="74"/>
      <x:c r="G120" s="74"/>
      <x:c r="H120" s="74"/>
      <x:c r="I120" s="74"/>
      <x:c r="J120" s="74"/>
      <x:c r="K120" s="74"/>
      <x:c r="L120" s="74"/>
      <x:c r="M120" s="74"/>
      <x:c r="N120" s="74"/>
      <x:c r="O120" s="74"/>
      <x:c r="P120" s="74"/>
      <x:c r="Q120" s="74"/>
      <x:c r="R120" s="74"/>
      <x:c r="S120" s="74"/>
      <x:c r="T120" s="74"/>
      <x:c r="U120" s="74"/>
      <x:c r="V120" s="74"/>
    </x:row>
    <x:row r="121">
      <x:c r="A121" s="74"/>
      <x:c r="B121" s="74"/>
      <x:c r="C121" s="74"/>
      <x:c r="D121" s="74"/>
      <x:c r="E121" s="74"/>
      <x:c r="F121" s="74"/>
      <x:c r="G121" s="74"/>
      <x:c r="H121" s="74"/>
      <x:c r="I121" s="74"/>
      <x:c r="J121" s="74"/>
      <x:c r="K121" s="74"/>
      <x:c r="L121" s="74"/>
      <x:c r="M121" s="74"/>
      <x:c r="N121" s="74"/>
      <x:c r="O121" s="74"/>
      <x:c r="P121" s="74"/>
      <x:c r="Q121" s="74"/>
      <x:c r="R121" s="74"/>
      <x:c r="S121" s="74"/>
      <x:c r="T121" s="74"/>
      <x:c r="U121" s="74"/>
      <x:c r="V121" s="74"/>
    </x:row>
    <x:row r="122">
      <x:c r="A122" s="74"/>
      <x:c r="B122" s="74"/>
      <x:c r="C122" s="74"/>
      <x:c r="D122" s="74"/>
      <x:c r="E122" s="74"/>
      <x:c r="F122" s="74"/>
      <x:c r="G122" s="74"/>
      <x:c r="H122" s="74"/>
      <x:c r="I122" s="74"/>
      <x:c r="J122" s="74"/>
      <x:c r="K122" s="74"/>
      <x:c r="L122" s="74"/>
      <x:c r="M122" s="74"/>
      <x:c r="N122" s="74"/>
      <x:c r="O122" s="74"/>
      <x:c r="P122" s="74"/>
      <x:c r="Q122" s="74"/>
      <x:c r="R122" s="74"/>
      <x:c r="S122" s="74"/>
      <x:c r="T122" s="74"/>
      <x:c r="U122" s="74"/>
      <x:c r="V122" s="74"/>
    </x:row>
    <x:row r="123">
      <x:c r="A123" s="74"/>
      <x:c r="B123" s="74"/>
      <x:c r="C123" s="74"/>
      <x:c r="D123" s="74"/>
      <x:c r="E123" s="74"/>
      <x:c r="F123" s="74"/>
      <x:c r="G123" s="74"/>
      <x:c r="H123" s="74"/>
      <x:c r="I123" s="74"/>
      <x:c r="J123" s="74"/>
      <x:c r="K123" s="74"/>
      <x:c r="L123" s="74"/>
      <x:c r="M123" s="74"/>
      <x:c r="N123" s="74"/>
      <x:c r="O123" s="74"/>
      <x:c r="P123" s="74"/>
      <x:c r="Q123" s="74"/>
      <x:c r="R123" s="74"/>
      <x:c r="S123" s="74"/>
      <x:c r="T123" s="74"/>
      <x:c r="U123" s="74"/>
      <x:c r="V123" s="74"/>
    </x:row>
    <x:row r="124">
      <x:c r="A124" s="74"/>
      <x:c r="B124" s="74"/>
      <x:c r="C124" s="74"/>
      <x:c r="D124" s="74"/>
      <x:c r="E124" s="74"/>
      <x:c r="F124" s="74"/>
      <x:c r="G124" s="74"/>
      <x:c r="H124" s="74"/>
      <x:c r="I124" s="74"/>
      <x:c r="J124" s="74"/>
      <x:c r="K124" s="74"/>
      <x:c r="L124" s="74"/>
      <x:c r="M124" s="74"/>
      <x:c r="N124" s="74"/>
      <x:c r="O124" s="74"/>
      <x:c r="P124" s="74"/>
      <x:c r="Q124" s="74"/>
      <x:c r="R124" s="74"/>
      <x:c r="S124" s="74"/>
      <x:c r="T124" s="74"/>
      <x:c r="U124" s="74"/>
      <x:c r="V124" s="74"/>
    </x:row>
    <x:row r="125">
      <x:c r="A125" s="74"/>
      <x:c r="B125" s="74"/>
      <x:c r="C125" s="74"/>
      <x:c r="D125" s="74"/>
      <x:c r="E125" s="74"/>
      <x:c r="F125" s="74"/>
      <x:c r="G125" s="74"/>
      <x:c r="H125" s="74"/>
      <x:c r="I125" s="74"/>
      <x:c r="J125" s="74"/>
      <x:c r="K125" s="74"/>
      <x:c r="L125" s="74"/>
      <x:c r="M125" s="74"/>
      <x:c r="N125" s="74"/>
      <x:c r="O125" s="74"/>
      <x:c r="P125" s="74"/>
      <x:c r="Q125" s="74"/>
      <x:c r="R125" s="74"/>
      <x:c r="S125" s="74"/>
      <x:c r="T125" s="74"/>
      <x:c r="U125" s="74"/>
      <x:c r="V125" s="74"/>
    </x:row>
    <x:row r="126">
      <x:c r="A126" s="74"/>
      <x:c r="B126" s="74"/>
      <x:c r="C126" s="74"/>
      <x:c r="D126" s="74"/>
      <x:c r="E126" s="74"/>
      <x:c r="F126" s="74"/>
      <x:c r="G126" s="74"/>
      <x:c r="H126" s="74"/>
      <x:c r="I126" s="74"/>
      <x:c r="J126" s="74"/>
      <x:c r="K126" s="74"/>
      <x:c r="L126" s="74"/>
      <x:c r="M126" s="74"/>
      <x:c r="N126" s="74"/>
      <x:c r="O126" s="74"/>
      <x:c r="P126" s="74"/>
      <x:c r="Q126" s="74"/>
      <x:c r="R126" s="74"/>
      <x:c r="S126" s="74"/>
      <x:c r="T126" s="74"/>
      <x:c r="U126" s="74"/>
      <x:c r="V126" s="74"/>
    </x:row>
    <x:row r="127">
      <x:c r="A127" s="74"/>
      <x:c r="B127" s="74"/>
      <x:c r="C127" s="74"/>
      <x:c r="D127" s="74"/>
      <x:c r="E127" s="74"/>
      <x:c r="F127" s="74"/>
      <x:c r="G127" s="74"/>
      <x:c r="H127" s="74"/>
      <x:c r="I127" s="74"/>
      <x:c r="J127" s="74"/>
      <x:c r="K127" s="74"/>
      <x:c r="L127" s="74"/>
      <x:c r="M127" s="74"/>
      <x:c r="N127" s="74"/>
      <x:c r="O127" s="74"/>
      <x:c r="P127" s="74"/>
      <x:c r="Q127" s="74"/>
      <x:c r="R127" s="74"/>
      <x:c r="S127" s="74"/>
      <x:c r="T127" s="74"/>
      <x:c r="U127" s="74"/>
      <x:c r="V127" s="74"/>
    </x:row>
    <x:row r="128">
      <x:c r="A128" s="74"/>
      <x:c r="B128" s="74"/>
      <x:c r="C128" s="74"/>
      <x:c r="D128" s="74"/>
      <x:c r="E128" s="74"/>
      <x:c r="F128" s="74"/>
      <x:c r="G128" s="74"/>
      <x:c r="H128" s="74"/>
      <x:c r="I128" s="74"/>
      <x:c r="J128" s="74"/>
      <x:c r="K128" s="74"/>
      <x:c r="L128" s="74"/>
      <x:c r="M128" s="74"/>
      <x:c r="N128" s="74"/>
      <x:c r="O128" s="74"/>
      <x:c r="P128" s="74"/>
      <x:c r="Q128" s="74"/>
      <x:c r="R128" s="74"/>
      <x:c r="S128" s="74"/>
      <x:c r="T128" s="74"/>
      <x:c r="U128" s="74"/>
      <x:c r="V128" s="74"/>
    </x:row>
    <x:row r="129">
      <x:c r="A129" s="74"/>
      <x:c r="B129" s="74"/>
      <x:c r="C129" s="74"/>
      <x:c r="D129" s="74"/>
      <x:c r="E129" s="74"/>
      <x:c r="F129" s="74"/>
      <x:c r="G129" s="74"/>
      <x:c r="H129" s="74"/>
      <x:c r="I129" s="74"/>
      <x:c r="J129" s="74"/>
      <x:c r="K129" s="74"/>
      <x:c r="L129" s="74"/>
      <x:c r="M129" s="74"/>
      <x:c r="N129" s="74"/>
      <x:c r="O129" s="74"/>
      <x:c r="P129" s="74"/>
      <x:c r="Q129" s="74"/>
      <x:c r="R129" s="74"/>
      <x:c r="S129" s="74"/>
      <x:c r="T129" s="74"/>
      <x:c r="U129" s="74"/>
      <x:c r="V129" s="74"/>
    </x:row>
    <x:row r="130">
      <x:c r="A130" s="74"/>
      <x:c r="B130" s="74"/>
      <x:c r="C130" s="74"/>
      <x:c r="D130" s="74"/>
      <x:c r="E130" s="74"/>
      <x:c r="F130" s="74"/>
      <x:c r="G130" s="74"/>
      <x:c r="H130" s="74"/>
      <x:c r="I130" s="74"/>
      <x:c r="J130" s="74"/>
      <x:c r="K130" s="74"/>
      <x:c r="L130" s="74"/>
      <x:c r="M130" s="74"/>
      <x:c r="N130" s="74"/>
      <x:c r="O130" s="74"/>
      <x:c r="P130" s="74"/>
      <x:c r="Q130" s="74"/>
      <x:c r="R130" s="74"/>
      <x:c r="S130" s="74"/>
      <x:c r="T130" s="74"/>
      <x:c r="U130" s="74"/>
      <x:c r="V130" s="74"/>
    </x:row>
    <x:row r="131">
      <x:c r="A131" s="74"/>
      <x:c r="B131" s="74"/>
      <x:c r="C131" s="74"/>
      <x:c r="D131" s="74"/>
      <x:c r="E131" s="74"/>
      <x:c r="F131" s="74"/>
      <x:c r="G131" s="74"/>
      <x:c r="H131" s="74"/>
      <x:c r="I131" s="74"/>
      <x:c r="J131" s="74"/>
      <x:c r="K131" s="74"/>
      <x:c r="L131" s="74"/>
      <x:c r="M131" s="74"/>
      <x:c r="N131" s="74"/>
      <x:c r="O131" s="74"/>
      <x:c r="P131" s="74"/>
      <x:c r="Q131" s="74"/>
      <x:c r="R131" s="74"/>
      <x:c r="S131" s="74"/>
      <x:c r="T131" s="74"/>
      <x:c r="U131" s="74"/>
      <x:c r="V131" s="74"/>
    </x:row>
    <x:row r="132">
      <x:c r="A132" s="74"/>
      <x:c r="B132" s="74"/>
      <x:c r="C132" s="74"/>
      <x:c r="D132" s="74"/>
      <x:c r="E132" s="74"/>
      <x:c r="F132" s="74"/>
      <x:c r="G132" s="74"/>
      <x:c r="H132" s="74"/>
      <x:c r="I132" s="74"/>
      <x:c r="J132" s="74"/>
      <x:c r="K132" s="74"/>
      <x:c r="L132" s="74"/>
      <x:c r="M132" s="74"/>
      <x:c r="N132" s="74"/>
      <x:c r="O132" s="74"/>
      <x:c r="P132" s="74"/>
      <x:c r="Q132" s="74"/>
      <x:c r="R132" s="74"/>
      <x:c r="S132" s="74"/>
      <x:c r="T132" s="74"/>
      <x:c r="U132" s="74"/>
      <x:c r="V132" s="74"/>
    </x:row>
    <x:row r="133">
      <x:c r="A133" s="74"/>
      <x:c r="B133" s="74"/>
      <x:c r="C133" s="74"/>
      <x:c r="D133" s="74"/>
      <x:c r="E133" s="74"/>
      <x:c r="F133" s="74"/>
      <x:c r="G133" s="74"/>
      <x:c r="H133" s="74"/>
      <x:c r="I133" s="74"/>
      <x:c r="J133" s="74"/>
      <x:c r="K133" s="74"/>
      <x:c r="L133" s="74"/>
      <x:c r="M133" s="74"/>
      <x:c r="N133" s="74"/>
      <x:c r="O133" s="74"/>
      <x:c r="P133" s="74"/>
      <x:c r="Q133" s="74"/>
      <x:c r="R133" s="74"/>
      <x:c r="S133" s="74"/>
      <x:c r="T133" s="74"/>
      <x:c r="U133" s="74"/>
      <x:c r="V133" s="74"/>
    </x:row>
    <x:row r="134">
      <x:c r="A134" s="74"/>
      <x:c r="B134" s="74"/>
      <x:c r="C134" s="74"/>
      <x:c r="D134" s="74"/>
      <x:c r="E134" s="74"/>
      <x:c r="F134" s="74"/>
      <x:c r="G134" s="74"/>
      <x:c r="H134" s="74"/>
      <x:c r="I134" s="74"/>
      <x:c r="J134" s="74"/>
      <x:c r="K134" s="74"/>
      <x:c r="L134" s="74"/>
      <x:c r="M134" s="74"/>
      <x:c r="N134" s="74"/>
      <x:c r="O134" s="74"/>
      <x:c r="P134" s="74"/>
      <x:c r="Q134" s="74"/>
      <x:c r="R134" s="74"/>
      <x:c r="S134" s="74"/>
      <x:c r="T134" s="74"/>
      <x:c r="U134" s="74"/>
      <x:c r="V134" s="74"/>
    </x:row>
    <x:row r="135">
      <x:c r="A135" s="74"/>
      <x:c r="B135" s="74"/>
      <x:c r="C135" s="74"/>
      <x:c r="D135" s="74"/>
      <x:c r="E135" s="74"/>
      <x:c r="F135" s="74"/>
      <x:c r="G135" s="74"/>
      <x:c r="H135" s="74"/>
      <x:c r="I135" s="74"/>
      <x:c r="J135" s="74"/>
      <x:c r="K135" s="74"/>
      <x:c r="L135" s="74"/>
      <x:c r="M135" s="74"/>
      <x:c r="N135" s="74"/>
      <x:c r="O135" s="74"/>
      <x:c r="P135" s="74"/>
      <x:c r="Q135" s="74"/>
      <x:c r="R135" s="74"/>
      <x:c r="S135" s="74"/>
      <x:c r="T135" s="74"/>
      <x:c r="U135" s="74"/>
      <x:c r="V135" s="74"/>
    </x:row>
    <x:row r="136">
      <x:c r="A136" s="74"/>
      <x:c r="B136" s="74"/>
      <x:c r="C136" s="74"/>
      <x:c r="D136" s="74"/>
      <x:c r="E136" s="74"/>
      <x:c r="F136" s="74"/>
      <x:c r="G136" s="74"/>
      <x:c r="H136" s="74"/>
      <x:c r="I136" s="74"/>
      <x:c r="J136" s="74"/>
      <x:c r="K136" s="74"/>
      <x:c r="L136" s="74"/>
      <x:c r="M136" s="74"/>
      <x:c r="N136" s="74"/>
      <x:c r="O136" s="74"/>
      <x:c r="P136" s="74"/>
      <x:c r="Q136" s="74"/>
      <x:c r="R136" s="74"/>
      <x:c r="S136" s="74"/>
      <x:c r="T136" s="74"/>
      <x:c r="U136" s="74"/>
      <x:c r="V136" s="74"/>
    </x:row>
    <x:row r="137">
      <x:c r="A137" s="74"/>
      <x:c r="B137" s="74"/>
      <x:c r="C137" s="74"/>
      <x:c r="D137" s="74"/>
      <x:c r="E137" s="74"/>
      <x:c r="F137" s="74"/>
      <x:c r="G137" s="74"/>
      <x:c r="H137" s="74"/>
      <x:c r="I137" s="74"/>
      <x:c r="J137" s="74"/>
      <x:c r="K137" s="74"/>
      <x:c r="L137" s="74"/>
      <x:c r="M137" s="74"/>
      <x:c r="N137" s="74"/>
      <x:c r="O137" s="74"/>
      <x:c r="P137" s="74"/>
      <x:c r="Q137" s="74"/>
      <x:c r="R137" s="74"/>
      <x:c r="S137" s="74"/>
      <x:c r="T137" s="74"/>
      <x:c r="U137" s="74"/>
      <x:c r="V137" s="74"/>
    </x:row>
    <x:row r="138">
      <x:c r="A138" s="74"/>
      <x:c r="B138" s="74"/>
      <x:c r="C138" s="74"/>
      <x:c r="D138" s="74"/>
      <x:c r="E138" s="74"/>
      <x:c r="F138" s="74"/>
      <x:c r="G138" s="74"/>
      <x:c r="H138" s="74"/>
      <x:c r="I138" s="74"/>
      <x:c r="J138" s="74"/>
      <x:c r="K138" s="74"/>
      <x:c r="L138" s="74"/>
      <x:c r="M138" s="74"/>
      <x:c r="N138" s="74"/>
      <x:c r="O138" s="74"/>
      <x:c r="P138" s="74"/>
      <x:c r="Q138" s="74"/>
      <x:c r="R138" s="74"/>
      <x:c r="S138" s="74"/>
      <x:c r="T138" s="74"/>
      <x:c r="U138" s="74"/>
      <x:c r="V138" s="74"/>
    </x:row>
    <x:row r="139">
      <x:c r="A139" s="74"/>
      <x:c r="B139" s="74"/>
      <x:c r="C139" s="74"/>
      <x:c r="D139" s="74"/>
      <x:c r="E139" s="74"/>
      <x:c r="F139" s="74"/>
      <x:c r="G139" s="74"/>
      <x:c r="H139" s="74"/>
      <x:c r="I139" s="74"/>
      <x:c r="J139" s="74"/>
      <x:c r="K139" s="74"/>
      <x:c r="L139" s="74"/>
      <x:c r="M139" s="74"/>
      <x:c r="N139" s="74"/>
      <x:c r="O139" s="74"/>
      <x:c r="P139" s="74"/>
      <x:c r="Q139" s="74"/>
      <x:c r="R139" s="74"/>
      <x:c r="S139" s="74"/>
      <x:c r="T139" s="74"/>
      <x:c r="U139" s="74"/>
      <x:c r="V139" s="74"/>
    </x:row>
    <x:row r="140">
      <x:c r="A140" s="74"/>
      <x:c r="B140" s="74"/>
      <x:c r="C140" s="74"/>
      <x:c r="D140" s="74"/>
      <x:c r="E140" s="74"/>
      <x:c r="F140" s="74"/>
      <x:c r="G140" s="74"/>
      <x:c r="H140" s="74"/>
      <x:c r="I140" s="74"/>
      <x:c r="J140" s="74"/>
      <x:c r="K140" s="74"/>
      <x:c r="L140" s="74"/>
      <x:c r="M140" s="74"/>
      <x:c r="N140" s="74"/>
      <x:c r="O140" s="74"/>
      <x:c r="P140" s="74"/>
      <x:c r="Q140" s="74"/>
      <x:c r="R140" s="74"/>
      <x:c r="S140" s="74"/>
      <x:c r="T140" s="74"/>
      <x:c r="U140" s="74"/>
      <x:c r="V140" s="74"/>
    </x:row>
    <x:row r="141">
      <x:c r="A141" s="74"/>
      <x:c r="B141" s="74"/>
      <x:c r="C141" s="74"/>
      <x:c r="D141" s="74"/>
      <x:c r="E141" s="74"/>
      <x:c r="F141" s="74"/>
      <x:c r="G141" s="74"/>
      <x:c r="H141" s="74"/>
      <x:c r="I141" s="74"/>
      <x:c r="J141" s="74"/>
      <x:c r="K141" s="74"/>
      <x:c r="L141" s="74"/>
      <x:c r="M141" s="74"/>
      <x:c r="N141" s="74"/>
      <x:c r="O141" s="74"/>
      <x:c r="P141" s="74"/>
      <x:c r="Q141" s="74"/>
      <x:c r="R141" s="74"/>
      <x:c r="S141" s="74"/>
      <x:c r="T141" s="74"/>
      <x:c r="U141" s="74"/>
      <x:c r="V141" s="74"/>
    </x:row>
    <x:row r="142">
      <x:c r="A142" s="74"/>
      <x:c r="B142" s="74"/>
      <x:c r="C142" s="74"/>
      <x:c r="D142" s="74"/>
      <x:c r="E142" s="74"/>
      <x:c r="F142" s="74"/>
      <x:c r="G142" s="74"/>
      <x:c r="H142" s="74"/>
      <x:c r="I142" s="74"/>
      <x:c r="J142" s="74"/>
      <x:c r="K142" s="74"/>
      <x:c r="L142" s="74"/>
      <x:c r="M142" s="74"/>
      <x:c r="N142" s="74"/>
      <x:c r="O142" s="74"/>
      <x:c r="P142" s="74"/>
      <x:c r="Q142" s="74"/>
      <x:c r="R142" s="74"/>
      <x:c r="S142" s="74"/>
      <x:c r="T142" s="74"/>
      <x:c r="U142" s="74"/>
      <x:c r="V142" s="74"/>
    </x:row>
    <x:row r="143">
      <x:c r="A143" s="74"/>
      <x:c r="B143" s="74"/>
      <x:c r="C143" s="74"/>
      <x:c r="D143" s="74"/>
      <x:c r="E143" s="74"/>
      <x:c r="F143" s="74"/>
      <x:c r="G143" s="74"/>
      <x:c r="H143" s="74"/>
      <x:c r="I143" s="74"/>
      <x:c r="J143" s="74"/>
      <x:c r="K143" s="74"/>
      <x:c r="L143" s="74"/>
      <x:c r="M143" s="74"/>
      <x:c r="N143" s="74"/>
      <x:c r="O143" s="74"/>
      <x:c r="P143" s="74"/>
      <x:c r="Q143" s="74"/>
      <x:c r="R143" s="74"/>
      <x:c r="S143" s="74"/>
      <x:c r="T143" s="74"/>
      <x:c r="U143" s="74"/>
      <x:c r="V143" s="74"/>
    </x:row>
    <x:row r="144">
      <x:c r="A144" s="74"/>
      <x:c r="B144" s="74"/>
      <x:c r="C144" s="74"/>
      <x:c r="D144" s="74"/>
      <x:c r="E144" s="74"/>
      <x:c r="F144" s="74"/>
      <x:c r="G144" s="74"/>
      <x:c r="H144" s="74"/>
      <x:c r="I144" s="74"/>
      <x:c r="J144" s="74"/>
      <x:c r="K144" s="74"/>
      <x:c r="L144" s="74"/>
      <x:c r="M144" s="74"/>
      <x:c r="N144" s="74"/>
      <x:c r="O144" s="74"/>
      <x:c r="P144" s="74"/>
      <x:c r="Q144" s="74"/>
      <x:c r="R144" s="74"/>
      <x:c r="S144" s="74"/>
      <x:c r="T144" s="74"/>
      <x:c r="U144" s="74"/>
      <x:c r="V144" s="74"/>
    </x:row>
    <x:row r="145">
      <x:c r="A145" s="74"/>
      <x:c r="B145" s="74"/>
      <x:c r="C145" s="74"/>
      <x:c r="D145" s="74"/>
      <x:c r="E145" s="74"/>
      <x:c r="F145" s="74"/>
      <x:c r="G145" s="74"/>
      <x:c r="H145" s="74"/>
      <x:c r="I145" s="74"/>
      <x:c r="J145" s="74"/>
      <x:c r="K145" s="74"/>
      <x:c r="L145" s="74"/>
      <x:c r="M145" s="74"/>
      <x:c r="N145" s="74"/>
      <x:c r="O145" s="74"/>
      <x:c r="P145" s="74"/>
      <x:c r="Q145" s="74"/>
      <x:c r="R145" s="74"/>
      <x:c r="S145" s="74"/>
      <x:c r="T145" s="74"/>
      <x:c r="U145" s="74"/>
      <x:c r="V145" s="74"/>
    </x:row>
    <x:row r="146">
      <x:c r="A146" s="74"/>
      <x:c r="B146" s="74"/>
      <x:c r="C146" s="74"/>
      <x:c r="D146" s="74"/>
      <x:c r="E146" s="74"/>
      <x:c r="F146" s="74"/>
      <x:c r="G146" s="74"/>
      <x:c r="H146" s="74"/>
      <x:c r="I146" s="74"/>
      <x:c r="J146" s="74"/>
      <x:c r="K146" s="74"/>
      <x:c r="L146" s="74"/>
      <x:c r="M146" s="74"/>
      <x:c r="N146" s="74"/>
      <x:c r="O146" s="74"/>
      <x:c r="P146" s="74"/>
      <x:c r="Q146" s="74"/>
      <x:c r="R146" s="74"/>
      <x:c r="S146" s="74"/>
      <x:c r="T146" s="74"/>
      <x:c r="U146" s="74"/>
      <x:c r="V146" s="74"/>
    </x:row>
    <x:row r="147">
      <x:c r="A147" s="74"/>
      <x:c r="B147" s="74"/>
      <x:c r="C147" s="74"/>
      <x:c r="D147" s="74"/>
      <x:c r="E147" s="74"/>
      <x:c r="F147" s="74"/>
      <x:c r="G147" s="74"/>
      <x:c r="H147" s="74"/>
      <x:c r="I147" s="74"/>
      <x:c r="J147" s="74"/>
      <x:c r="K147" s="74"/>
      <x:c r="L147" s="74"/>
      <x:c r="M147" s="74"/>
      <x:c r="N147" s="74"/>
      <x:c r="O147" s="74"/>
      <x:c r="P147" s="74"/>
      <x:c r="Q147" s="74"/>
      <x:c r="R147" s="74"/>
      <x:c r="S147" s="74"/>
      <x:c r="T147" s="74"/>
      <x:c r="U147" s="74"/>
      <x:c r="V147" s="74"/>
    </x:row>
    <x:row r="148">
      <x:c r="A148" s="74"/>
      <x:c r="B148" s="74"/>
      <x:c r="C148" s="74"/>
      <x:c r="D148" s="74"/>
      <x:c r="E148" s="74"/>
      <x:c r="F148" s="74"/>
      <x:c r="G148" s="74"/>
      <x:c r="H148" s="74"/>
      <x:c r="I148" s="74"/>
      <x:c r="J148" s="74"/>
      <x:c r="K148" s="74"/>
      <x:c r="L148" s="74"/>
      <x:c r="M148" s="74"/>
      <x:c r="N148" s="74"/>
      <x:c r="O148" s="74"/>
      <x:c r="P148" s="74"/>
      <x:c r="Q148" s="74"/>
      <x:c r="R148" s="74"/>
      <x:c r="S148" s="74"/>
      <x:c r="T148" s="74"/>
      <x:c r="U148" s="74"/>
      <x:c r="V148" s="74"/>
    </x:row>
    <x:row r="149">
      <x:c r="A149" s="74"/>
      <x:c r="B149" s="74"/>
      <x:c r="C149" s="74"/>
      <x:c r="D149" s="74"/>
      <x:c r="E149" s="74"/>
      <x:c r="F149" s="74"/>
      <x:c r="G149" s="74"/>
      <x:c r="H149" s="74"/>
      <x:c r="I149" s="74"/>
      <x:c r="J149" s="74"/>
      <x:c r="K149" s="74"/>
      <x:c r="L149" s="74"/>
      <x:c r="M149" s="74"/>
      <x:c r="N149" s="74"/>
      <x:c r="O149" s="74"/>
      <x:c r="P149" s="74"/>
      <x:c r="Q149" s="74"/>
      <x:c r="R149" s="74"/>
      <x:c r="S149" s="74"/>
      <x:c r="T149" s="74"/>
      <x:c r="U149" s="74"/>
      <x:c r="V149" s="74"/>
    </x:row>
    <x:row r="150">
      <x:c r="A150" s="74"/>
      <x:c r="B150" s="74"/>
      <x:c r="C150" s="74"/>
      <x:c r="D150" s="74"/>
      <x:c r="E150" s="74"/>
      <x:c r="F150" s="74"/>
      <x:c r="G150" s="74"/>
      <x:c r="H150" s="74"/>
      <x:c r="I150" s="74"/>
      <x:c r="J150" s="74"/>
      <x:c r="K150" s="74"/>
      <x:c r="L150" s="74"/>
      <x:c r="M150" s="74"/>
      <x:c r="N150" s="74"/>
      <x:c r="O150" s="74"/>
      <x:c r="P150" s="74"/>
      <x:c r="Q150" s="74"/>
      <x:c r="R150" s="74"/>
      <x:c r="S150" s="74"/>
      <x:c r="T150" s="74"/>
      <x:c r="U150" s="74"/>
      <x:c r="V150" s="74"/>
    </x:row>
    <x:row r="151">
      <x:c r="A151" s="74"/>
      <x:c r="B151" s="74"/>
      <x:c r="C151" s="74"/>
      <x:c r="D151" s="74"/>
      <x:c r="E151" s="74"/>
      <x:c r="F151" s="74"/>
      <x:c r="G151" s="74"/>
      <x:c r="H151" s="74"/>
      <x:c r="I151" s="74"/>
      <x:c r="J151" s="74"/>
      <x:c r="K151" s="74"/>
      <x:c r="L151" s="74"/>
      <x:c r="M151" s="74"/>
      <x:c r="N151" s="74"/>
      <x:c r="O151" s="74"/>
      <x:c r="P151" s="74"/>
      <x:c r="Q151" s="74"/>
      <x:c r="R151" s="74"/>
      <x:c r="S151" s="74"/>
      <x:c r="T151" s="74"/>
      <x:c r="U151" s="74"/>
      <x:c r="V151" s="74"/>
    </x:row>
    <x:row r="152">
      <x:c r="A152" s="74"/>
      <x:c r="B152" s="74"/>
      <x:c r="C152" s="74"/>
      <x:c r="D152" s="74"/>
      <x:c r="E152" s="74"/>
      <x:c r="F152" s="74"/>
      <x:c r="G152" s="74"/>
      <x:c r="H152" s="74"/>
      <x:c r="I152" s="74"/>
      <x:c r="J152" s="74"/>
      <x:c r="K152" s="74"/>
      <x:c r="L152" s="74"/>
      <x:c r="M152" s="74"/>
      <x:c r="N152" s="74"/>
      <x:c r="O152" s="74"/>
      <x:c r="P152" s="74"/>
      <x:c r="Q152" s="74"/>
      <x:c r="R152" s="74"/>
      <x:c r="S152" s="74"/>
      <x:c r="T152" s="74"/>
      <x:c r="U152" s="74"/>
      <x:c r="V152" s="74"/>
    </x:row>
    <x:row r="153">
      <x:c r="A153" s="74"/>
      <x:c r="B153" s="74"/>
      <x:c r="C153" s="74"/>
      <x:c r="D153" s="74"/>
      <x:c r="E153" s="74"/>
      <x:c r="F153" s="74"/>
      <x:c r="G153" s="74"/>
      <x:c r="H153" s="74"/>
      <x:c r="I153" s="74"/>
      <x:c r="J153" s="74"/>
      <x:c r="K153" s="74"/>
      <x:c r="L153" s="74"/>
      <x:c r="M153" s="74"/>
      <x:c r="N153" s="74"/>
      <x:c r="O153" s="74"/>
      <x:c r="P153" s="74"/>
      <x:c r="Q153" s="74"/>
      <x:c r="R153" s="74"/>
      <x:c r="S153" s="74"/>
      <x:c r="T153" s="74"/>
      <x:c r="U153" s="74"/>
      <x:c r="V153" s="74"/>
    </x:row>
    <x:row r="154">
      <x:c r="A154" s="74"/>
      <x:c r="B154" s="74"/>
      <x:c r="C154" s="74"/>
      <x:c r="D154" s="74"/>
      <x:c r="E154" s="74"/>
      <x:c r="F154" s="74"/>
      <x:c r="G154" s="74"/>
      <x:c r="H154" s="74"/>
      <x:c r="I154" s="74"/>
      <x:c r="J154" s="74"/>
      <x:c r="K154" s="74"/>
      <x:c r="L154" s="74"/>
      <x:c r="M154" s="74"/>
      <x:c r="N154" s="74"/>
      <x:c r="O154" s="74"/>
      <x:c r="P154" s="74"/>
      <x:c r="Q154" s="74"/>
      <x:c r="R154" s="74"/>
      <x:c r="S154" s="74"/>
      <x:c r="T154" s="74"/>
      <x:c r="U154" s="74"/>
      <x:c r="V154" s="74"/>
    </x:row>
    <x:row r="155">
      <x:c r="A155" s="74"/>
      <x:c r="B155" s="74"/>
      <x:c r="C155" s="74"/>
      <x:c r="D155" s="74"/>
      <x:c r="E155" s="74"/>
      <x:c r="F155" s="74"/>
      <x:c r="G155" s="74"/>
      <x:c r="H155" s="74"/>
      <x:c r="I155" s="74"/>
      <x:c r="J155" s="74"/>
      <x:c r="K155" s="74"/>
      <x:c r="L155" s="74"/>
      <x:c r="M155" s="74"/>
      <x:c r="N155" s="74"/>
      <x:c r="O155" s="74"/>
      <x:c r="P155" s="74"/>
      <x:c r="Q155" s="74"/>
      <x:c r="R155" s="74"/>
      <x:c r="S155" s="74"/>
      <x:c r="T155" s="74"/>
      <x:c r="U155" s="74"/>
      <x:c r="V155" s="74"/>
    </x:row>
    <x:row r="156">
      <x:c r="A156" s="74"/>
      <x:c r="B156" s="74"/>
      <x:c r="C156" s="74"/>
      <x:c r="D156" s="74"/>
      <x:c r="E156" s="74"/>
      <x:c r="F156" s="74"/>
      <x:c r="G156" s="74"/>
      <x:c r="H156" s="74"/>
      <x:c r="I156" s="74"/>
      <x:c r="J156" s="74"/>
      <x:c r="K156" s="74"/>
      <x:c r="L156" s="74"/>
      <x:c r="M156" s="74"/>
      <x:c r="N156" s="74"/>
      <x:c r="O156" s="74"/>
      <x:c r="P156" s="74"/>
      <x:c r="Q156" s="74"/>
      <x:c r="R156" s="74"/>
      <x:c r="S156" s="74"/>
      <x:c r="T156" s="74"/>
      <x:c r="U156" s="74"/>
      <x:c r="V156" s="74"/>
    </x:row>
    <x:row r="157">
      <x:c r="A157" s="74"/>
      <x:c r="B157" s="74"/>
      <x:c r="C157" s="74"/>
      <x:c r="D157" s="74"/>
      <x:c r="E157" s="74"/>
      <x:c r="F157" s="74"/>
      <x:c r="G157" s="74"/>
      <x:c r="H157" s="74"/>
      <x:c r="I157" s="74"/>
      <x:c r="J157" s="74"/>
      <x:c r="K157" s="74"/>
      <x:c r="L157" s="74"/>
      <x:c r="M157" s="74"/>
      <x:c r="N157" s="74"/>
      <x:c r="O157" s="74"/>
      <x:c r="P157" s="74"/>
      <x:c r="Q157" s="74"/>
      <x:c r="R157" s="74"/>
      <x:c r="S157" s="74"/>
      <x:c r="T157" s="74"/>
      <x:c r="U157" s="74"/>
      <x:c r="V157" s="74"/>
    </x:row>
    <x:row r="158">
      <x:c r="A158" s="74"/>
      <x:c r="B158" s="74"/>
      <x:c r="C158" s="74"/>
      <x:c r="D158" s="74"/>
      <x:c r="E158" s="74"/>
      <x:c r="F158" s="74"/>
      <x:c r="G158" s="74"/>
      <x:c r="H158" s="74"/>
      <x:c r="I158" s="74"/>
      <x:c r="J158" s="74"/>
      <x:c r="K158" s="74"/>
      <x:c r="L158" s="74"/>
      <x:c r="M158" s="74"/>
      <x:c r="N158" s="74"/>
      <x:c r="O158" s="74"/>
      <x:c r="P158" s="74"/>
      <x:c r="Q158" s="74"/>
      <x:c r="R158" s="74"/>
      <x:c r="S158" s="74"/>
      <x:c r="T158" s="74"/>
      <x:c r="U158" s="74"/>
      <x:c r="V158" s="74"/>
    </x:row>
    <x:row r="159">
      <x:c r="A159" s="74"/>
      <x:c r="B159" s="74"/>
      <x:c r="C159" s="74"/>
      <x:c r="D159" s="74"/>
      <x:c r="E159" s="74"/>
      <x:c r="F159" s="74"/>
      <x:c r="G159" s="74"/>
      <x:c r="H159" s="74"/>
      <x:c r="I159" s="74"/>
      <x:c r="J159" s="74"/>
      <x:c r="K159" s="74"/>
      <x:c r="L159" s="74"/>
      <x:c r="M159" s="74"/>
      <x:c r="N159" s="74"/>
      <x:c r="O159" s="74"/>
      <x:c r="P159" s="74"/>
      <x:c r="Q159" s="74"/>
      <x:c r="R159" s="74"/>
      <x:c r="S159" s="74"/>
      <x:c r="T159" s="74"/>
      <x:c r="U159" s="74"/>
      <x:c r="V159" s="74"/>
    </x:row>
    <x:row r="160">
      <x:c r="A160" s="74"/>
      <x:c r="B160" s="74"/>
      <x:c r="C160" s="74"/>
      <x:c r="D160" s="74"/>
      <x:c r="E160" s="74"/>
      <x:c r="F160" s="74"/>
      <x:c r="G160" s="74"/>
      <x:c r="H160" s="74"/>
      <x:c r="I160" s="74"/>
      <x:c r="J160" s="74"/>
      <x:c r="K160" s="74"/>
      <x:c r="L160" s="74"/>
      <x:c r="M160" s="74"/>
      <x:c r="N160" s="74"/>
      <x:c r="O160" s="74"/>
      <x:c r="P160" s="74"/>
      <x:c r="Q160" s="74"/>
      <x:c r="R160" s="74"/>
      <x:c r="S160" s="74"/>
      <x:c r="T160" s="74"/>
      <x:c r="U160" s="74"/>
      <x:c r="V160" s="74"/>
    </x:row>
    <x:row r="161">
      <x:c r="A161" s="74"/>
      <x:c r="B161" s="74"/>
      <x:c r="C161" s="74"/>
      <x:c r="D161" s="74"/>
      <x:c r="E161" s="74"/>
      <x:c r="F161" s="74"/>
      <x:c r="G161" s="74"/>
      <x:c r="H161" s="74"/>
      <x:c r="I161" s="74"/>
      <x:c r="J161" s="74"/>
      <x:c r="K161" s="74"/>
      <x:c r="L161" s="74"/>
      <x:c r="M161" s="74"/>
      <x:c r="N161" s="74"/>
      <x:c r="O161" s="74"/>
      <x:c r="P161" s="74"/>
      <x:c r="Q161" s="74"/>
      <x:c r="R161" s="74"/>
      <x:c r="S161" s="74"/>
      <x:c r="T161" s="74"/>
      <x:c r="U161" s="74"/>
      <x:c r="V161" s="74"/>
    </x:row>
    <x:row r="162">
      <x:c r="A162" s="74"/>
      <x:c r="B162" s="74"/>
      <x:c r="C162" s="74"/>
      <x:c r="D162" s="74"/>
      <x:c r="E162" s="74"/>
      <x:c r="F162" s="74"/>
      <x:c r="G162" s="74"/>
      <x:c r="H162" s="74"/>
      <x:c r="I162" s="74"/>
      <x:c r="J162" s="74"/>
      <x:c r="K162" s="74"/>
      <x:c r="L162" s="74"/>
      <x:c r="M162" s="74"/>
      <x:c r="N162" s="74"/>
      <x:c r="O162" s="74"/>
      <x:c r="P162" s="74"/>
      <x:c r="Q162" s="74"/>
      <x:c r="R162" s="74"/>
      <x:c r="S162" s="74"/>
      <x:c r="T162" s="74"/>
      <x:c r="U162" s="74"/>
      <x:c r="V162" s="74"/>
    </x:row>
    <x:row r="163">
      <x:c r="A163" s="74"/>
      <x:c r="B163" s="74"/>
      <x:c r="C163" s="74"/>
      <x:c r="D163" s="74"/>
      <x:c r="E163" s="74"/>
      <x:c r="F163" s="74"/>
      <x:c r="G163" s="74"/>
      <x:c r="H163" s="74"/>
      <x:c r="I163" s="74"/>
      <x:c r="J163" s="74"/>
      <x:c r="K163" s="74"/>
      <x:c r="L163" s="74"/>
      <x:c r="M163" s="74"/>
      <x:c r="N163" s="74"/>
      <x:c r="O163" s="74"/>
      <x:c r="P163" s="74"/>
      <x:c r="Q163" s="74"/>
      <x:c r="R163" s="74"/>
      <x:c r="S163" s="74"/>
      <x:c r="T163" s="74"/>
      <x:c r="U163" s="74"/>
      <x:c r="V163" s="74"/>
    </x:row>
    <x:row r="164">
      <x:c r="A164" s="74"/>
      <x:c r="B164" s="74"/>
      <x:c r="C164" s="74"/>
      <x:c r="D164" s="74"/>
      <x:c r="E164" s="74"/>
      <x:c r="F164" s="74"/>
      <x:c r="G164" s="74"/>
      <x:c r="H164" s="74"/>
      <x:c r="I164" s="74"/>
      <x:c r="J164" s="74"/>
      <x:c r="K164" s="74"/>
      <x:c r="L164" s="74"/>
      <x:c r="M164" s="74"/>
      <x:c r="N164" s="74"/>
      <x:c r="O164" s="74"/>
      <x:c r="P164" s="74"/>
      <x:c r="Q164" s="74"/>
      <x:c r="R164" s="74"/>
      <x:c r="S164" s="74"/>
      <x:c r="T164" s="74"/>
      <x:c r="U164" s="74"/>
      <x:c r="V164" s="74"/>
    </x:row>
    <x:row r="165">
      <x:c r="A165" s="74"/>
      <x:c r="B165" s="74"/>
      <x:c r="C165" s="74"/>
      <x:c r="D165" s="74"/>
      <x:c r="E165" s="74"/>
      <x:c r="F165" s="74"/>
      <x:c r="G165" s="74"/>
      <x:c r="H165" s="74"/>
      <x:c r="I165" s="74"/>
      <x:c r="J165" s="74"/>
      <x:c r="K165" s="74"/>
      <x:c r="L165" s="74"/>
      <x:c r="M165" s="74"/>
      <x:c r="N165" s="74"/>
      <x:c r="O165" s="74"/>
      <x:c r="P165" s="74"/>
      <x:c r="Q165" s="74"/>
      <x:c r="R165" s="74"/>
      <x:c r="S165" s="74"/>
      <x:c r="T165" s="74"/>
      <x:c r="U165" s="74"/>
      <x:c r="V165" s="74"/>
    </x:row>
    <x:row r="166">
      <x:c r="A166" s="74"/>
      <x:c r="B166" s="74"/>
      <x:c r="C166" s="74"/>
      <x:c r="D166" s="74"/>
      <x:c r="E166" s="74"/>
      <x:c r="F166" s="74"/>
      <x:c r="G166" s="74"/>
      <x:c r="H166" s="74"/>
      <x:c r="I166" s="74"/>
      <x:c r="J166" s="74"/>
      <x:c r="K166" s="74"/>
      <x:c r="L166" s="74"/>
      <x:c r="M166" s="74"/>
      <x:c r="N166" s="74"/>
      <x:c r="O166" s="74"/>
      <x:c r="P166" s="74"/>
      <x:c r="Q166" s="74"/>
      <x:c r="R166" s="74"/>
      <x:c r="S166" s="74"/>
      <x:c r="T166" s="74"/>
      <x:c r="U166" s="74"/>
      <x:c r="V166" s="74"/>
    </x:row>
    <x:row r="167">
      <x:c r="A167" s="74"/>
      <x:c r="B167" s="74"/>
      <x:c r="C167" s="74"/>
      <x:c r="D167" s="74"/>
      <x:c r="E167" s="74"/>
      <x:c r="F167" s="74"/>
      <x:c r="G167" s="74"/>
      <x:c r="H167" s="74"/>
      <x:c r="I167" s="74"/>
      <x:c r="J167" s="74"/>
      <x:c r="K167" s="74"/>
      <x:c r="L167" s="74"/>
      <x:c r="M167" s="74"/>
      <x:c r="N167" s="74"/>
      <x:c r="O167" s="74"/>
      <x:c r="P167" s="74"/>
      <x:c r="Q167" s="74"/>
      <x:c r="R167" s="74"/>
      <x:c r="S167" s="74"/>
      <x:c r="T167" s="74"/>
      <x:c r="U167" s="74"/>
      <x:c r="V167" s="74"/>
    </x:row>
    <x:row r="168">
      <x:c r="A168" s="74"/>
      <x:c r="B168" s="74"/>
      <x:c r="C168" s="74"/>
      <x:c r="D168" s="74"/>
      <x:c r="E168" s="74"/>
      <x:c r="F168" s="74"/>
      <x:c r="G168" s="74"/>
      <x:c r="H168" s="74"/>
      <x:c r="I168" s="74"/>
      <x:c r="J168" s="74"/>
      <x:c r="K168" s="74"/>
      <x:c r="L168" s="74"/>
      <x:c r="M168" s="74"/>
      <x:c r="N168" s="74"/>
      <x:c r="O168" s="74"/>
      <x:c r="P168" s="74"/>
      <x:c r="Q168" s="74"/>
      <x:c r="R168" s="74"/>
      <x:c r="S168" s="74"/>
      <x:c r="T168" s="74"/>
      <x:c r="U168" s="74"/>
      <x:c r="V168" s="74"/>
    </x:row>
    <x:row r="169">
      <x:c r="A169" s="74"/>
      <x:c r="B169" s="74"/>
      <x:c r="C169" s="74"/>
      <x:c r="D169" s="74"/>
      <x:c r="E169" s="74"/>
      <x:c r="F169" s="74"/>
      <x:c r="G169" s="74"/>
      <x:c r="H169" s="74"/>
      <x:c r="I169" s="74"/>
      <x:c r="J169" s="74"/>
      <x:c r="K169" s="74"/>
      <x:c r="L169" s="74"/>
      <x:c r="M169" s="74"/>
      <x:c r="N169" s="74"/>
      <x:c r="O169" s="74"/>
      <x:c r="P169" s="74"/>
      <x:c r="Q169" s="74"/>
      <x:c r="R169" s="74"/>
      <x:c r="S169" s="74"/>
      <x:c r="T169" s="74"/>
      <x:c r="U169" s="74"/>
      <x:c r="V169" s="74"/>
    </x:row>
    <x:row r="170">
      <x:c r="A170" s="74"/>
      <x:c r="B170" s="74"/>
      <x:c r="C170" s="74"/>
      <x:c r="D170" s="74"/>
      <x:c r="E170" s="74"/>
      <x:c r="F170" s="74"/>
      <x:c r="G170" s="74"/>
      <x:c r="H170" s="74"/>
      <x:c r="I170" s="74"/>
      <x:c r="J170" s="74"/>
      <x:c r="K170" s="74"/>
      <x:c r="L170" s="74"/>
      <x:c r="M170" s="74"/>
      <x:c r="N170" s="74"/>
      <x:c r="O170" s="74"/>
      <x:c r="P170" s="74"/>
      <x:c r="Q170" s="74"/>
      <x:c r="R170" s="74"/>
      <x:c r="S170" s="74"/>
      <x:c r="T170" s="74"/>
      <x:c r="U170" s="74"/>
      <x:c r="V170" s="74"/>
    </x:row>
    <x:row r="171">
      <x:c r="A171" s="74"/>
      <x:c r="B171" s="74"/>
      <x:c r="C171" s="74"/>
      <x:c r="D171" s="74"/>
      <x:c r="E171" s="74"/>
      <x:c r="F171" s="74"/>
      <x:c r="G171" s="74"/>
      <x:c r="H171" s="74"/>
      <x:c r="I171" s="74"/>
      <x:c r="J171" s="74"/>
      <x:c r="K171" s="74"/>
      <x:c r="L171" s="74"/>
      <x:c r="M171" s="74"/>
      <x:c r="N171" s="74"/>
      <x:c r="O171" s="74"/>
      <x:c r="P171" s="74"/>
      <x:c r="Q171" s="74"/>
      <x:c r="R171" s="74"/>
      <x:c r="S171" s="74"/>
      <x:c r="T171" s="74"/>
      <x:c r="U171" s="74"/>
      <x:c r="V171" s="74"/>
    </x:row>
    <x:row r="172">
      <x:c r="A172" s="74"/>
      <x:c r="B172" s="74"/>
      <x:c r="C172" s="74"/>
      <x:c r="D172" s="74"/>
      <x:c r="E172" s="74"/>
      <x:c r="F172" s="74"/>
      <x:c r="G172" s="74"/>
      <x:c r="H172" s="74"/>
      <x:c r="I172" s="74"/>
      <x:c r="J172" s="74"/>
      <x:c r="K172" s="74"/>
      <x:c r="L172" s="74"/>
      <x:c r="M172" s="74"/>
      <x:c r="N172" s="74"/>
      <x:c r="O172" s="74"/>
      <x:c r="P172" s="74"/>
      <x:c r="Q172" s="74"/>
      <x:c r="R172" s="74"/>
      <x:c r="S172" s="74"/>
      <x:c r="T172" s="74"/>
      <x:c r="U172" s="74"/>
      <x:c r="V172" s="74"/>
    </x:row>
    <x:row r="173">
      <x:c r="A173" s="74"/>
      <x:c r="B173" s="74"/>
      <x:c r="C173" s="74"/>
      <x:c r="D173" s="74"/>
      <x:c r="E173" s="74"/>
      <x:c r="F173" s="74"/>
      <x:c r="G173" s="74"/>
      <x:c r="H173" s="74"/>
      <x:c r="I173" s="74"/>
      <x:c r="J173" s="74"/>
      <x:c r="K173" s="74"/>
      <x:c r="L173" s="74"/>
      <x:c r="M173" s="74"/>
      <x:c r="N173" s="74"/>
      <x:c r="O173" s="74"/>
      <x:c r="P173" s="74"/>
      <x:c r="Q173" s="74"/>
      <x:c r="R173" s="74"/>
      <x:c r="S173" s="74"/>
      <x:c r="T173" s="74"/>
      <x:c r="U173" s="74"/>
      <x:c r="V173" s="74"/>
    </x:row>
    <x:row r="174">
      <x:c r="A174" s="74"/>
      <x:c r="B174" s="74"/>
      <x:c r="C174" s="74"/>
      <x:c r="D174" s="74"/>
      <x:c r="E174" s="74"/>
      <x:c r="F174" s="74"/>
      <x:c r="G174" s="74"/>
      <x:c r="H174" s="74"/>
      <x:c r="I174" s="74"/>
      <x:c r="J174" s="74"/>
      <x:c r="K174" s="74"/>
      <x:c r="L174" s="74"/>
      <x:c r="M174" s="74"/>
      <x:c r="N174" s="74"/>
      <x:c r="O174" s="74"/>
      <x:c r="P174" s="74"/>
      <x:c r="Q174" s="74"/>
      <x:c r="R174" s="74"/>
      <x:c r="S174" s="74"/>
      <x:c r="T174" s="74"/>
      <x:c r="U174" s="74"/>
      <x:c r="V174" s="74"/>
    </x:row>
    <x:row r="175">
      <x:c r="A175" s="74"/>
      <x:c r="B175" s="74"/>
      <x:c r="C175" s="74"/>
      <x:c r="D175" s="74"/>
      <x:c r="E175" s="74"/>
      <x:c r="F175" s="74"/>
      <x:c r="G175" s="74"/>
      <x:c r="H175" s="74"/>
      <x:c r="I175" s="74"/>
      <x:c r="J175" s="74"/>
      <x:c r="K175" s="74"/>
      <x:c r="L175" s="74"/>
      <x:c r="M175" s="74"/>
      <x:c r="N175" s="74"/>
      <x:c r="O175" s="74"/>
      <x:c r="P175" s="74"/>
      <x:c r="Q175" s="74"/>
      <x:c r="R175" s="74"/>
      <x:c r="S175" s="74"/>
      <x:c r="T175" s="74"/>
      <x:c r="U175" s="74"/>
      <x:c r="V175" s="74"/>
    </x:row>
    <x:row r="176">
      <x:c r="A176" s="74"/>
      <x:c r="B176" s="74"/>
      <x:c r="C176" s="74"/>
      <x:c r="D176" s="74"/>
      <x:c r="E176" s="74"/>
      <x:c r="F176" s="74"/>
      <x:c r="G176" s="74"/>
      <x:c r="H176" s="74"/>
      <x:c r="I176" s="74"/>
      <x:c r="J176" s="74"/>
      <x:c r="K176" s="74"/>
      <x:c r="L176" s="74"/>
      <x:c r="M176" s="74"/>
      <x:c r="N176" s="74"/>
      <x:c r="O176" s="74"/>
      <x:c r="P176" s="74"/>
      <x:c r="Q176" s="74"/>
      <x:c r="R176" s="74"/>
      <x:c r="S176" s="74"/>
      <x:c r="T176" s="74"/>
      <x:c r="U176" s="74"/>
      <x:c r="V176" s="74"/>
    </x:row>
    <x:row r="177">
      <x:c r="A177" s="74"/>
      <x:c r="B177" s="74"/>
      <x:c r="C177" s="74"/>
      <x:c r="D177" s="74"/>
      <x:c r="E177" s="74"/>
      <x:c r="F177" s="74"/>
      <x:c r="G177" s="74"/>
      <x:c r="H177" s="74"/>
      <x:c r="I177" s="74"/>
      <x:c r="J177" s="74"/>
      <x:c r="K177" s="74"/>
      <x:c r="L177" s="74"/>
      <x:c r="M177" s="74"/>
      <x:c r="N177" s="74"/>
      <x:c r="O177" s="74"/>
      <x:c r="P177" s="74"/>
      <x:c r="Q177" s="74"/>
      <x:c r="R177" s="74"/>
      <x:c r="S177" s="74"/>
      <x:c r="T177" s="74"/>
      <x:c r="U177" s="74"/>
      <x:c r="V177" s="74"/>
    </x:row>
    <x:row r="178">
      <x:c r="A178" s="74"/>
      <x:c r="B178" s="74"/>
      <x:c r="C178" s="74"/>
      <x:c r="D178" s="74"/>
      <x:c r="E178" s="74"/>
      <x:c r="F178" s="74"/>
      <x:c r="G178" s="74"/>
      <x:c r="H178" s="74"/>
      <x:c r="I178" s="74"/>
      <x:c r="J178" s="74"/>
      <x:c r="K178" s="74"/>
      <x:c r="L178" s="74"/>
      <x:c r="M178" s="74"/>
      <x:c r="N178" s="74"/>
      <x:c r="O178" s="74"/>
      <x:c r="P178" s="74"/>
      <x:c r="Q178" s="74"/>
      <x:c r="R178" s="74"/>
      <x:c r="S178" s="74"/>
      <x:c r="T178" s="74"/>
      <x:c r="U178" s="74"/>
      <x:c r="V178" s="74"/>
    </x:row>
    <x:row r="179">
      <x:c r="A179" s="74"/>
      <x:c r="B179" s="74"/>
      <x:c r="C179" s="74"/>
      <x:c r="D179" s="74"/>
      <x:c r="E179" s="74"/>
      <x:c r="F179" s="74"/>
      <x:c r="G179" s="74"/>
      <x:c r="H179" s="74"/>
      <x:c r="I179" s="74"/>
      <x:c r="J179" s="74"/>
      <x:c r="K179" s="74"/>
      <x:c r="L179" s="74"/>
      <x:c r="M179" s="74"/>
      <x:c r="N179" s="74"/>
      <x:c r="O179" s="74"/>
      <x:c r="P179" s="74"/>
      <x:c r="Q179" s="74"/>
      <x:c r="R179" s="74"/>
      <x:c r="S179" s="74"/>
      <x:c r="T179" s="74"/>
      <x:c r="U179" s="74"/>
      <x:c r="V179" s="74"/>
    </x:row>
    <x:row r="180">
      <x:c r="A180" s="74"/>
      <x:c r="B180" s="74"/>
      <x:c r="C180" s="74"/>
      <x:c r="D180" s="74"/>
      <x:c r="E180" s="74"/>
      <x:c r="F180" s="74"/>
      <x:c r="G180" s="74"/>
      <x:c r="H180" s="74"/>
      <x:c r="I180" s="74"/>
      <x:c r="J180" s="74"/>
      <x:c r="K180" s="74"/>
      <x:c r="L180" s="74"/>
      <x:c r="M180" s="74"/>
      <x:c r="N180" s="74"/>
      <x:c r="O180" s="74"/>
      <x:c r="P180" s="74"/>
      <x:c r="Q180" s="74"/>
      <x:c r="R180" s="74"/>
      <x:c r="S180" s="74"/>
      <x:c r="T180" s="74"/>
      <x:c r="U180" s="74"/>
      <x:c r="V180" s="74"/>
    </x:row>
    <x:row r="181">
      <x:c r="A181" s="74"/>
      <x:c r="B181" s="74"/>
      <x:c r="C181" s="74"/>
      <x:c r="D181" s="74"/>
      <x:c r="E181" s="74"/>
      <x:c r="F181" s="74"/>
      <x:c r="G181" s="74"/>
      <x:c r="H181" s="74"/>
      <x:c r="I181" s="74"/>
      <x:c r="J181" s="74"/>
      <x:c r="K181" s="74"/>
      <x:c r="L181" s="74"/>
      <x:c r="M181" s="74"/>
      <x:c r="N181" s="74"/>
      <x:c r="O181" s="74"/>
      <x:c r="P181" s="74"/>
      <x:c r="Q181" s="74"/>
      <x:c r="R181" s="74"/>
      <x:c r="S181" s="74"/>
      <x:c r="T181" s="74"/>
      <x:c r="U181" s="74"/>
      <x:c r="V181" s="74"/>
    </x:row>
    <x:row r="182">
      <x:c r="A182" s="74"/>
      <x:c r="B182" s="74"/>
      <x:c r="C182" s="74"/>
      <x:c r="D182" s="74"/>
      <x:c r="E182" s="74"/>
      <x:c r="F182" s="74"/>
      <x:c r="G182" s="74"/>
      <x:c r="H182" s="74"/>
      <x:c r="I182" s="74"/>
      <x:c r="J182" s="74"/>
      <x:c r="K182" s="74"/>
      <x:c r="L182" s="74"/>
      <x:c r="M182" s="74"/>
      <x:c r="N182" s="74"/>
      <x:c r="O182" s="74"/>
      <x:c r="P182" s="74"/>
      <x:c r="Q182" s="74"/>
      <x:c r="R182" s="74"/>
      <x:c r="S182" s="74"/>
      <x:c r="T182" s="74"/>
      <x:c r="U182" s="74"/>
      <x:c r="V182" s="74"/>
    </x:row>
    <x:row r="183">
      <x:c r="A183" s="74"/>
      <x:c r="B183" s="74"/>
      <x:c r="C183" s="74"/>
      <x:c r="D183" s="74"/>
      <x:c r="E183" s="74"/>
      <x:c r="F183" s="74"/>
      <x:c r="G183" s="74"/>
      <x:c r="H183" s="74"/>
      <x:c r="I183" s="74"/>
      <x:c r="J183" s="74"/>
      <x:c r="K183" s="74"/>
      <x:c r="L183" s="74"/>
      <x:c r="M183" s="74"/>
      <x:c r="N183" s="74"/>
      <x:c r="O183" s="74"/>
      <x:c r="P183" s="74"/>
      <x:c r="Q183" s="74"/>
      <x:c r="R183" s="74"/>
      <x:c r="S183" s="74"/>
      <x:c r="T183" s="74"/>
      <x:c r="U183" s="74"/>
      <x:c r="V183" s="74"/>
    </x:row>
    <x:row r="184">
      <x:c r="A184" s="74"/>
      <x:c r="B184" s="74"/>
      <x:c r="C184" s="74"/>
      <x:c r="D184" s="74"/>
      <x:c r="E184" s="74"/>
      <x:c r="F184" s="74"/>
      <x:c r="G184" s="74"/>
      <x:c r="H184" s="74"/>
      <x:c r="I184" s="74"/>
      <x:c r="J184" s="74"/>
      <x:c r="K184" s="74"/>
      <x:c r="L184" s="74"/>
      <x:c r="M184" s="74"/>
      <x:c r="N184" s="74"/>
      <x:c r="O184" s="74"/>
      <x:c r="P184" s="74"/>
      <x:c r="Q184" s="74"/>
      <x:c r="R184" s="74"/>
      <x:c r="S184" s="74"/>
      <x:c r="T184" s="74"/>
      <x:c r="U184" s="74"/>
      <x:c r="V184" s="74"/>
    </x:row>
    <x:row r="185">
      <x:c r="A185" s="74"/>
      <x:c r="B185" s="74"/>
      <x:c r="C185" s="74"/>
      <x:c r="D185" s="74"/>
      <x:c r="E185" s="74"/>
      <x:c r="F185" s="74"/>
      <x:c r="G185" s="74"/>
      <x:c r="H185" s="74"/>
      <x:c r="I185" s="74"/>
      <x:c r="J185" s="74"/>
      <x:c r="K185" s="74"/>
      <x:c r="L185" s="74"/>
      <x:c r="M185" s="74"/>
      <x:c r="N185" s="74"/>
      <x:c r="O185" s="74"/>
      <x:c r="P185" s="74"/>
      <x:c r="Q185" s="74"/>
      <x:c r="R185" s="74"/>
      <x:c r="S185" s="74"/>
      <x:c r="T185" s="74"/>
      <x:c r="U185" s="74"/>
      <x:c r="V185" s="74"/>
    </x:row>
    <x:row r="186">
      <x:c r="A186" s="74"/>
      <x:c r="B186" s="74"/>
      <x:c r="C186" s="74"/>
      <x:c r="D186" s="74"/>
      <x:c r="E186" s="74"/>
      <x:c r="F186" s="74"/>
      <x:c r="G186" s="74"/>
      <x:c r="H186" s="74"/>
      <x:c r="I186" s="74"/>
      <x:c r="J186" s="74"/>
      <x:c r="K186" s="74"/>
      <x:c r="L186" s="74"/>
      <x:c r="M186" s="74"/>
      <x:c r="N186" s="74"/>
      <x:c r="O186" s="74"/>
      <x:c r="P186" s="74"/>
      <x:c r="Q186" s="74"/>
      <x:c r="R186" s="74"/>
      <x:c r="S186" s="74"/>
      <x:c r="T186" s="74"/>
      <x:c r="U186" s="74"/>
      <x:c r="V186" s="74"/>
    </x:row>
    <x:row r="187">
      <x:c r="A187" s="74"/>
      <x:c r="B187" s="74"/>
      <x:c r="C187" s="74"/>
      <x:c r="D187" s="74"/>
      <x:c r="E187" s="74"/>
      <x:c r="F187" s="74"/>
      <x:c r="G187" s="74"/>
      <x:c r="H187" s="74"/>
      <x:c r="I187" s="74"/>
      <x:c r="J187" s="74"/>
      <x:c r="K187" s="74"/>
      <x:c r="L187" s="74"/>
      <x:c r="M187" s="74"/>
      <x:c r="N187" s="74"/>
      <x:c r="O187" s="74"/>
      <x:c r="P187" s="74"/>
      <x:c r="Q187" s="74"/>
      <x:c r="R187" s="74"/>
      <x:c r="S187" s="74"/>
      <x:c r="T187" s="74"/>
      <x:c r="U187" s="74"/>
      <x:c r="V187" s="74"/>
    </x:row>
    <x:row r="188">
      <x:c r="A188" s="74"/>
      <x:c r="B188" s="74"/>
      <x:c r="C188" s="74"/>
      <x:c r="D188" s="74"/>
      <x:c r="E188" s="74"/>
      <x:c r="F188" s="74"/>
      <x:c r="G188" s="74"/>
      <x:c r="H188" s="74"/>
      <x:c r="I188" s="74"/>
      <x:c r="J188" s="74"/>
      <x:c r="K188" s="74"/>
      <x:c r="L188" s="74"/>
      <x:c r="M188" s="74"/>
      <x:c r="N188" s="74"/>
      <x:c r="O188" s="74"/>
      <x:c r="P188" s="74"/>
      <x:c r="Q188" s="74"/>
      <x:c r="R188" s="74"/>
      <x:c r="S188" s="74"/>
      <x:c r="T188" s="74"/>
      <x:c r="U188" s="74"/>
      <x:c r="V188" s="74"/>
    </x:row>
    <x:row r="189">
      <x:c r="A189" s="74"/>
      <x:c r="B189" s="74"/>
      <x:c r="C189" s="74"/>
      <x:c r="D189" s="74"/>
      <x:c r="E189" s="74"/>
      <x:c r="F189" s="74"/>
      <x:c r="G189" s="74"/>
      <x:c r="H189" s="74"/>
      <x:c r="I189" s="74"/>
      <x:c r="J189" s="74"/>
      <x:c r="K189" s="74"/>
      <x:c r="L189" s="74"/>
      <x:c r="M189" s="74"/>
      <x:c r="N189" s="74"/>
      <x:c r="O189" s="74"/>
      <x:c r="P189" s="74"/>
      <x:c r="Q189" s="74"/>
      <x:c r="R189" s="74"/>
      <x:c r="S189" s="74"/>
      <x:c r="T189" s="74"/>
      <x:c r="U189" s="74"/>
      <x:c r="V189" s="74"/>
    </x:row>
    <x:row r="190">
      <x:c r="A190" s="74"/>
      <x:c r="B190" s="74"/>
      <x:c r="C190" s="74"/>
      <x:c r="D190" s="74"/>
      <x:c r="E190" s="74"/>
      <x:c r="F190" s="74"/>
      <x:c r="G190" s="74"/>
      <x:c r="H190" s="74"/>
      <x:c r="I190" s="74"/>
      <x:c r="J190" s="74"/>
      <x:c r="K190" s="74"/>
      <x:c r="L190" s="74"/>
      <x:c r="M190" s="74"/>
      <x:c r="N190" s="74"/>
      <x:c r="O190" s="74"/>
      <x:c r="P190" s="74"/>
      <x:c r="Q190" s="74"/>
      <x:c r="R190" s="74"/>
      <x:c r="S190" s="74"/>
      <x:c r="T190" s="74"/>
      <x:c r="U190" s="74"/>
      <x:c r="V190" s="74"/>
    </x:row>
    <x:row r="191">
      <x:c r="A191" s="74"/>
      <x:c r="B191" s="74"/>
      <x:c r="C191" s="74"/>
      <x:c r="D191" s="74"/>
      <x:c r="E191" s="74"/>
      <x:c r="F191" s="74"/>
      <x:c r="G191" s="74"/>
      <x:c r="H191" s="74"/>
      <x:c r="I191" s="74"/>
      <x:c r="J191" s="74"/>
      <x:c r="K191" s="74"/>
      <x:c r="L191" s="74"/>
      <x:c r="M191" s="74"/>
      <x:c r="N191" s="74"/>
      <x:c r="O191" s="74"/>
      <x:c r="P191" s="74"/>
      <x:c r="Q191" s="74"/>
      <x:c r="R191" s="74"/>
      <x:c r="S191" s="74"/>
      <x:c r="T191" s="74"/>
      <x:c r="U191" s="74"/>
      <x:c r="V191" s="74"/>
    </x:row>
    <x:row r="192">
      <x:c r="A192" s="74"/>
      <x:c r="B192" s="74"/>
      <x:c r="C192" s="74"/>
      <x:c r="D192" s="74"/>
      <x:c r="E192" s="74"/>
      <x:c r="F192" s="74"/>
      <x:c r="G192" s="74"/>
      <x:c r="H192" s="74"/>
      <x:c r="I192" s="74"/>
      <x:c r="J192" s="74"/>
      <x:c r="K192" s="74"/>
      <x:c r="L192" s="74"/>
      <x:c r="M192" s="74"/>
      <x:c r="N192" s="74"/>
      <x:c r="O192" s="74"/>
      <x:c r="P192" s="74"/>
      <x:c r="Q192" s="74"/>
      <x:c r="R192" s="74"/>
      <x:c r="S192" s="74"/>
      <x:c r="T192" s="74"/>
      <x:c r="U192" s="74"/>
      <x:c r="V192" s="74"/>
    </x:row>
    <x:row r="193">
      <x:c r="A193" s="74"/>
      <x:c r="B193" s="74"/>
      <x:c r="C193" s="74"/>
      <x:c r="D193" s="74"/>
      <x:c r="E193" s="74"/>
      <x:c r="F193" s="74"/>
      <x:c r="G193" s="74"/>
      <x:c r="H193" s="74"/>
      <x:c r="I193" s="74"/>
      <x:c r="J193" s="74"/>
      <x:c r="K193" s="74"/>
      <x:c r="L193" s="74"/>
      <x:c r="M193" s="74"/>
      <x:c r="N193" s="74"/>
      <x:c r="O193" s="74"/>
      <x:c r="P193" s="74"/>
      <x:c r="Q193" s="74"/>
      <x:c r="R193" s="74"/>
      <x:c r="S193" s="74"/>
      <x:c r="T193" s="74"/>
      <x:c r="U193" s="74"/>
      <x:c r="V193" s="74"/>
    </x:row>
    <x:row r="194">
      <x:c r="A194" s="74"/>
      <x:c r="B194" s="74"/>
      <x:c r="C194" s="74"/>
      <x:c r="D194" s="74"/>
      <x:c r="E194" s="74"/>
      <x:c r="F194" s="74"/>
      <x:c r="G194" s="74"/>
      <x:c r="H194" s="74"/>
      <x:c r="I194" s="74"/>
      <x:c r="J194" s="74"/>
      <x:c r="K194" s="74"/>
      <x:c r="L194" s="74"/>
      <x:c r="M194" s="74"/>
      <x:c r="N194" s="74"/>
      <x:c r="O194" s="74"/>
      <x:c r="P194" s="74"/>
      <x:c r="Q194" s="74"/>
      <x:c r="R194" s="74"/>
      <x:c r="S194" s="74"/>
      <x:c r="T194" s="74"/>
      <x:c r="U194" s="74"/>
      <x:c r="V194" s="74"/>
    </x:row>
    <x:row r="195">
      <x:c r="A195" s="74"/>
      <x:c r="B195" s="74"/>
      <x:c r="C195" s="74"/>
      <x:c r="D195" s="74"/>
      <x:c r="E195" s="74"/>
      <x:c r="F195" s="74"/>
      <x:c r="G195" s="74"/>
      <x:c r="H195" s="74"/>
      <x:c r="I195" s="74"/>
      <x:c r="J195" s="74"/>
      <x:c r="K195" s="74"/>
      <x:c r="L195" s="74"/>
      <x:c r="M195" s="74"/>
      <x:c r="N195" s="74"/>
      <x:c r="O195" s="74"/>
      <x:c r="P195" s="74"/>
      <x:c r="Q195" s="74"/>
      <x:c r="R195" s="74"/>
      <x:c r="S195" s="74"/>
      <x:c r="T195" s="74"/>
      <x:c r="U195" s="74"/>
      <x:c r="V195" s="74"/>
    </x:row>
    <x:row r="196">
      <x:c r="A196" s="74"/>
      <x:c r="B196" s="74"/>
      <x:c r="C196" s="74"/>
      <x:c r="D196" s="74"/>
      <x:c r="E196" s="74"/>
      <x:c r="F196" s="74"/>
      <x:c r="G196" s="74"/>
      <x:c r="H196" s="74"/>
      <x:c r="I196" s="74"/>
      <x:c r="J196" s="74"/>
      <x:c r="K196" s="74"/>
      <x:c r="L196" s="74"/>
      <x:c r="M196" s="74"/>
      <x:c r="N196" s="74"/>
      <x:c r="O196" s="74"/>
      <x:c r="P196" s="74"/>
      <x:c r="Q196" s="74"/>
      <x:c r="R196" s="74"/>
      <x:c r="S196" s="74"/>
      <x:c r="T196" s="74"/>
      <x:c r="U196" s="74"/>
      <x:c r="V196" s="74"/>
    </x:row>
    <x:row r="197">
      <x:c r="A197" s="74"/>
      <x:c r="B197" s="74"/>
      <x:c r="C197" s="74"/>
      <x:c r="D197" s="74"/>
      <x:c r="E197" s="74"/>
      <x:c r="F197" s="74"/>
      <x:c r="G197" s="74"/>
      <x:c r="H197" s="74"/>
      <x:c r="I197" s="74"/>
      <x:c r="J197" s="74"/>
      <x:c r="K197" s="74"/>
      <x:c r="L197" s="74"/>
      <x:c r="M197" s="74"/>
      <x:c r="N197" s="74"/>
      <x:c r="O197" s="74"/>
      <x:c r="P197" s="74"/>
      <x:c r="Q197" s="74"/>
      <x:c r="R197" s="74"/>
      <x:c r="S197" s="74"/>
      <x:c r="T197" s="74"/>
      <x:c r="U197" s="74"/>
      <x:c r="V197" s="74"/>
    </x:row>
    <x:row r="198">
      <x:c r="A198" s="74"/>
      <x:c r="B198" s="74"/>
      <x:c r="C198" s="74"/>
      <x:c r="D198" s="74"/>
      <x:c r="E198" s="74"/>
      <x:c r="F198" s="74"/>
      <x:c r="G198" s="74"/>
      <x:c r="H198" s="74"/>
      <x:c r="I198" s="74"/>
      <x:c r="J198" s="74"/>
      <x:c r="K198" s="74"/>
      <x:c r="L198" s="74"/>
      <x:c r="M198" s="74"/>
      <x:c r="N198" s="74"/>
      <x:c r="O198" s="74"/>
      <x:c r="P198" s="74"/>
      <x:c r="Q198" s="74"/>
      <x:c r="R198" s="74"/>
      <x:c r="S198" s="74"/>
      <x:c r="T198" s="74"/>
      <x:c r="U198" s="74"/>
      <x:c r="V198" s="74"/>
    </x:row>
    <x:row r="199">
      <x:c r="A199" s="74"/>
      <x:c r="B199" s="74"/>
      <x:c r="C199" s="74"/>
      <x:c r="D199" s="74"/>
      <x:c r="E199" s="74"/>
      <x:c r="F199" s="74"/>
      <x:c r="G199" s="74"/>
      <x:c r="H199" s="74"/>
      <x:c r="I199" s="74"/>
      <x:c r="J199" s="74"/>
      <x:c r="K199" s="74"/>
      <x:c r="L199" s="74"/>
      <x:c r="M199" s="74"/>
      <x:c r="N199" s="74"/>
      <x:c r="O199" s="74"/>
      <x:c r="P199" s="74"/>
      <x:c r="Q199" s="74"/>
      <x:c r="R199" s="74"/>
      <x:c r="S199" s="74"/>
      <x:c r="T199" s="74"/>
      <x:c r="U199" s="74"/>
      <x:c r="V199" s="74"/>
    </x:row>
    <x:row r="200">
      <x:c r="A200" s="74"/>
      <x:c r="B200" s="74"/>
      <x:c r="C200" s="74"/>
      <x:c r="D200" s="74"/>
      <x:c r="E200" s="74"/>
      <x:c r="F200" s="74"/>
      <x:c r="G200" s="74"/>
      <x:c r="H200" s="74"/>
      <x:c r="I200" s="74"/>
      <x:c r="J200" s="74"/>
      <x:c r="K200" s="74"/>
      <x:c r="L200" s="74"/>
      <x:c r="M200" s="74"/>
      <x:c r="N200" s="74"/>
      <x:c r="O200" s="74"/>
      <x:c r="P200" s="74"/>
      <x:c r="Q200" s="74"/>
      <x:c r="R200" s="74"/>
      <x:c r="S200" s="74"/>
      <x:c r="T200" s="74"/>
      <x:c r="U200" s="74"/>
      <x:c r="V200" s="74"/>
    </x:row>
  </x:sheetData>
  <x:mergeCells>
    <x:mergeCell ref="A1:J1"/>
    <x:mergeCell ref="A2:J2"/>
    <x:mergeCell ref="D4:J4"/>
    <x:mergeCell ref="A14:J14"/>
    <x:mergeCell ref="A15:J17"/>
    <x:mergeCell ref="F19:J19"/>
    <x:mergeCell ref="A32:J32"/>
    <x:mergeCell ref="A33:J35"/>
    <x:mergeCell ref="D37:J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22" hidden="0" customWidth="1"/>
    <x:col min="4" max="4" width="20" hidden="0" customWidth="1"/>
    <x:col min="5" max="5" width="52" hidden="0" customWidth="1"/>
    <x:col min="6" max="6" width="34" hidden="0" customWidth="1"/>
    <x:col min="7" max="7" width="34" hidden="0" customWidth="1"/>
    <x:col min="8" max="8" width="42" hidden="0" customWidth="1"/>
    <x:col min="9" max="9" width="30" hidden="0" customWidth="1"/>
    <x:col min="10" max="10" width="20" hidden="0" customWidth="1"/>
    <x:col min="11" max="11" width="50" hidden="0" customWidth="1"/>
    <x:col min="12" max="12" width="42" hidden="0" customWidth="1"/>
    <x:col min="13" max="13" width="4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16" hidden="0" customWidth="1"/>
    <x:col min="19" max="19" width="18" hidden="0" customWidth="1"/>
    <x:col min="20" max="20" width="25" hidden="0" customWidth="1"/>
    <x:col min="21" max="21" width="42" hidden="0" customWidth="1"/>
    <x:col min="22" max="22" width="28" hidden="0" customWidth="1"/>
  </x:cols>
  <x:sheetData>
    <x:row r="1">
      <x:c r="A1" s="95" t="str">
        <x:v>Claim ID</x:v>
      </x:c>
      <x:c r="B1" s="95" t="str">
        <x:v>우선순위</x:v>
      </x:c>
      <x:c r="C1" s="95" t="str">
        <x:v>기여 축</x:v>
      </x:c>
      <x:c r="D1" s="95" t="str">
        <x:v>유형</x:v>
      </x:c>
      <x:c r="E1" s="95" t="str">
        <x:v>최종 주장</x:v>
      </x:c>
      <x:c r="F1" s="95" t="str">
        <x:v>핵심 비교·식별</x:v>
      </x:c>
      <x:c r="G1" s="95" t="str">
        <x:v>적용 범위</x:v>
      </x:c>
      <x:c r="H1" s="95" t="str">
        <x:v>핵심 증거</x:v>
      </x:c>
      <x:c r="I1" s="95" t="str">
        <x:v>불확실성·판정기준</x:v>
      </x:c>
      <x:c r="J1" s="95" t="str">
        <x:v>Source ID</x:v>
      </x:c>
      <x:c r="K1" s="95" t="str">
        <x:v>Canonical evidence path·필터·열</x:v>
      </x:c>
      <x:c r="L1" s="95" t="str">
        <x:v>허용 해석</x:v>
      </x:c>
      <x:c r="M1" s="95" t="str">
        <x:v>금지 해석</x:v>
      </x:c>
      <x:c r="N1" s="95" t="str">
        <x:v>증거 클래스</x:v>
      </x:c>
      <x:c r="O1" s="95" t="str">
        <x:v>세부 계보</x:v>
      </x:c>
      <x:c r="P1" s="95" t="str">
        <x:v>증거 동결 상태</x:v>
      </x:c>
      <x:c r="Q1" s="95" t="str">
        <x:v>집필 준비 상태</x:v>
      </x:c>
      <x:c r="R1" s="95" t="str">
        <x:v>Decision ID</x:v>
      </x:c>
      <x:c r="S1" s="95" t="str">
        <x:v>본문 위치</x:v>
      </x:c>
      <x:c r="T1" s="95" t="str">
        <x:v>표·그림 ID</x:v>
      </x:c>
      <x:c r="U1" s="95" t="str">
        <x:v>집필 전 조치</x:v>
      </x:c>
      <x:c r="V1" s="133" t="str">
        <x:v>최종 슬롯</x:v>
      </x:c>
    </x:row>
    <x:row r="2" ht="88" customHeight="1">
      <x:c r="A2" s="79" t="str">
        <x:v>C01</x:v>
      </x:c>
      <x:c r="B2" s="79" t="str">
        <x:v>P3 경계·운영</x:v>
      </x:c>
      <x:c r="C2" s="79" t="str">
        <x:v>검증 우선 평가</x:v>
      </x:c>
      <x:c r="D2" s="79" t="str">
        <x:v>주장 범위</x:v>
      </x:c>
      <x:c r="E2" s="79" t="str">
        <x:v>본 연구의 정책가치는 검증된 Oracle 평가기반 내부에서 무행동 또는 비교정책 대비 관측된 상대값이며, 실제 외부등급 상승이나 부도위험 감소를 직접 의미하지 않는다.</x:v>
      </x:c>
      <x:c r="F2" s="79" t="str">
        <x:v>Oracle score Δnoop 및 정책 간 paired contrast</x:v>
      </x:c>
      <x:c r="G2" s="79" t="str">
        <x:v>전체 논문; 평가한 표본·Oracle·API snapshot</x:v>
      </x:c>
      <x:c r="H2" s="79" t="str">
        <x:v>평가계약과 주장범위 정의</x:v>
      </x:c>
      <x:c r="I2" s="79" t="str">
        <x:v>범위 규율; 현실효과 추정 없음</x:v>
      </x:c>
      <x:c r="J2" s="79" t="str">
        <x:v>S01, S02</x:v>
      </x:c>
      <x:c r="K2" s="79" t="str">
        <x:v>data/reproduction/claim_evidence/source_extracts/S01_design_contract.json; data/reproduction/claim_evidence/source_extracts/S02_rq_h_lineage.csv | claim filters: S01 contract keys; S02 item=RQ1</x:v>
      </x:c>
      <x:c r="L2" s="79" t="str">
        <x:v>평가기반 내부의 상대 정책가치와 정책 간 차이를 보고한다.</x:v>
      </x:c>
      <x:c r="M2" s="79" t="str">
        <x:v>실제 외부등급 상승, 부도위험 감소 또는 현실 처치효과를 입증했다고 쓰지 않는다.</x:v>
      </x:c>
      <x:c r="N2" s="79" t="str">
        <x:v>주장경계·설계계약</x:v>
      </x:c>
      <x:c r="O2" s="79" t="str">
        <x:v>RQ1</x:v>
      </x:c>
      <x:c r="P2" s="79" t="str">
        <x:v>FROZEN</x:v>
      </x:c>
      <x:c r="Q2" s="79" t="str">
        <x:v>READY</x:v>
      </x:c>
      <x:c r="R2" s="79" t="str"/>
      <x:c r="S2" s="79" t="str">
        <x:v>1.6, 3.3, 7.7</x:v>
      </x:c>
      <x:c r="T2" s="79" t="str">
        <x:v>BOUNDARY_SCOPE</x:v>
      </x:c>
      <x:c r="U2" s="79" t="str">
        <x:v>모든 ‘개선’ 표현을 전수검사</x:v>
      </x:c>
      <x:c r="V2" s="79" t="str">
        <x:v>BOX-01 / FIG-01A</x:v>
      </x:c>
    </x:row>
    <x:row r="3" ht="88" customHeight="1">
      <x:c r="A3" s="79" t="str">
        <x:v>C02</x:v>
      </x:c>
      <x:c r="B3" s="79" t="str">
        <x:v>P0 대표 결론</x:v>
      </x:c>
      <x:c r="C3" s="79" t="str">
        <x:v>검증 우선 평가</x:v>
      </x:c>
      <x:c r="D3" s="79" t="str">
        <x:v>평가기반 타당성</x:v>
      </x:c>
      <x:c r="E3" s="79" t="str">
        <x:v>Oracle-α는 시간외검증에서 실제 신용등급 이동과 의미 있게 정렬되어, 제한된 상대 정책비교의 주 평가자로 사용할 수 있다.</x:v>
      </x:c>
      <x:c r="F3" s="79" t="str">
        <x:v>OOT 이동기업 방향일치 및 동시점·lead 정렬</x:v>
      </x:c>
      <x:c r="G3" s="79" t="str">
        <x:v>Oracle-α; OOT 이동기업; 동결 표본</x:v>
      </x:c>
      <x:c r="H3" s="79" t="str">
        <x:v>방향일치율 72.0%, Wilson 95% CI [64.7, 78.4]와 동시점·lead 정렬</x:v>
      </x:c>
      <x:c r="I3" s="79" t="str">
        <x:v>Wilson 95% CI; 사전 gate</x:v>
      </x:c>
      <x:c r="J3" s="79" t="str">
        <x:v>S01, S03</x:v>
      </x:c>
      <x:c r="K3" s="79" t="str">
        <x:v>data/reproduction/claim_evidence/source_extracts/S01_design_contract.json; data/reproduction/claim_evidence/source_extracts/S03_oracle_oot_validation.csv | claim filters: S03 oracle=alpha | split=OOT | metrics=direction_agreement,CI,lead</x:v>
      </x:c>
      <x:c r="L3" s="79" t="str">
        <x:v>통제된 상대 정책비교의 평가 관문으로 사용한다.</x:v>
      </x:c>
      <x:c r="M3" s="79" t="str">
        <x:v>Oracle이 현실 신용평가를 대체하거나 72%가 정책 성공률이라고 해석하지 않는다.</x:v>
      </x:c>
      <x:c r="N3" s="79" t="str">
        <x:v>사전 명세</x:v>
      </x:c>
      <x:c r="O3" s="79" t="str">
        <x:v>RQ1</x:v>
      </x:c>
      <x:c r="P3" s="79" t="str">
        <x:v>PATH_CONFIRMATION_REQUIRED</x:v>
      </x:c>
      <x:c r="Q3" s="79" t="str">
        <x:v>NOT_READY_PATH</x:v>
      </x:c>
      <x:c r="R3" s="79" t="str"/>
      <x:c r="S3" s="79" t="str">
        <x:v>3.5</x:v>
      </x:c>
      <x:c r="T3" s="79" t="str">
        <x:v>TAB_ORACLE_OOT_VALIDATION</x:v>
      </x:c>
      <x:c r="U3" s="79" t="str">
        <x:v>정확한 Stage1 원천 파일·필터·열을 확정</x:v>
      </x:c>
      <x:c r="V3" s="79" t="str">
        <x:v>TAB-03</x:v>
      </x:c>
    </x:row>
    <x:row r="4" ht="88" customHeight="1">
      <x:c r="A4" s="79" t="str">
        <x:v>C03</x:v>
      </x:c>
      <x:c r="B4" s="79" t="str">
        <x:v>P1 필수 전제</x:v>
      </x:c>
      <x:c r="C4" s="79" t="str">
        <x:v>검증 우선 평가</x:v>
      </x:c>
      <x:c r="D4" s="79" t="str">
        <x:v>Measurement autopsy</x:v>
      </x:c>
      <x:c r="E4" s="79" t="str">
        <x:v>초기 simulator-mediated 지표는 시뮬레이터 충실도보다 점수경로 재구성과 부호 산술을 크게 반영했으며, 시뮬레이터는 현실 미래예측기가 아니라 공통 반사실 비교장치로 제한해 해석해야 한다.</x:v>
      </x:c>
      <x:c r="F4" s="79" t="str">
        <x:v>B2 gap의 행 단위 분해·부호편향·clipping 관측성</x:v>
      </x:c>
      <x:c r="G4" s="79" t="str">
        <x:v>B2 재설계 표본 및 substrate diagnostics</x:v>
      </x:c>
      <x:c r="H4" s="79" t="str">
        <x:v>gap decomposition·counterfactual fidelity·structural event slice</x:v>
      </x:c>
      <x:c r="I4" s="79" t="str">
        <x:v>PASS manifest + 행 단위 진단</x:v>
      </x:c>
      <x:c r="J4" s="79" t="str">
        <x:v>S04, S05</x:v>
      </x:c>
      <x:c r="K4" s="79" t="str">
        <x:v>data/reproduction/claim_evidence/source_extracts/S04_b2_gap_decomposition.json; data/reproduction/claim_evidence/source_extracts/S05_counterfactual_fidelity.json | claim filters: S04 full report; S05 test3 report</x:v>
      </x:c>
      <x:c r="L4" s="79" t="str">
        <x:v>동일 계산경로에서 정책을 상대 비교하는 substrate로 사용한다.</x:v>
      </x:c>
      <x:c r="M4" s="79" t="str">
        <x:v>다음 해 재무제표나 실현효과를 정확히 예측한다고 쓰지 않는다.</x:v>
      </x:c>
      <x:c r="N4" s="79" t="str">
        <x:v>사전 명세</x:v>
      </x:c>
      <x:c r="O4" s="79" t="str">
        <x:v>RQ1 / measurement autopsy</x:v>
      </x:c>
      <x:c r="P4" s="79" t="str">
        <x:v>FROZEN</x:v>
      </x:c>
      <x:c r="Q4" s="79" t="str">
        <x:v>READY</x:v>
      </x:c>
      <x:c r="R4" s="79" t="str"/>
      <x:c r="S4" s="79" t="str">
        <x:v>3.3, 3.6</x:v>
      </x:c>
      <x:c r="T4" s="79" t="str">
        <x:v>FIG_MEASUREMENT_AUTOPSY</x:v>
      </x:c>
      <x:c r="U4" s="79" t="str">
        <x:v>실패→분해→주장축소 순서 유지</x:v>
      </x:c>
      <x:c r="V4" s="79" t="str">
        <x:v>FIG-01B</x:v>
      </x:c>
    </x:row>
    <x:row r="5" ht="88" customHeight="1">
      <x:c r="A5" s="79" t="str">
        <x:v>C04</x:v>
      </x:c>
      <x:c r="B5" s="79" t="str">
        <x:v>P1 필수 전제</x:v>
      </x:c>
      <x:c r="C5" s="79" t="str">
        <x:v>감사·강건성</x:v>
      </x:c>
      <x:c r="D5" s="79" t="str">
        <x:v>정적 평가해상도</x:v>
      </x:c>
      <x:c r="E5" s="79" t="str">
        <x:v>세 Oracle은 신용수준을 대체로 정렬하지만 동점률, 행동효과 분산과 기업별 선호행동이 달라 후보행동 차이를 서로 다른 해상도로 관측한다.</x:v>
      </x:c>
      <x:c r="F5" s="79" t="str">
        <x:v>후보행동 landscape의 동점률·효과분산·Oracle 간 최적행동 합의</x:v>
      </x:c>
      <x:c r="G5" s="79" t="str">
        <x:v>Stage6 candidate landscape; Oracle α/β/γ</x:v>
      </x:c>
      <x:c r="H5" s="79" t="str">
        <x:v>정적 tie rate, action-effect SD, best-action agreement</x:v>
      </x:c>
      <x:c r="I5" s="79" t="str">
        <x:v>정적 진단; raw Oracle effect 크기 직접비교 금지</x:v>
      </x:c>
      <x:c r="J5" s="79" t="str">
        <x:v>S06</x:v>
      </x:c>
      <x:c r="K5" s="79" t="str">
        <x:v>data/reproduction/claim_evidence/source_extracts/S06_static_evaluator_resolution.csv | claim filters: S06 exact Stage6 artifact pending</x:v>
      </x:c>
      <x:c r="L5" s="79" t="str">
        <x:v>평가함수 구조가 정책효과의 관측분포와 해상도에 영향을 준다고 해석한다.</x:v>
      </x:c>
      <x:c r="M5" s="79" t="str">
        <x:v>정적 구조가 정책효과 자체를 인과적으로 결정한다고 쓰지 않는다.</x:v>
      </x:c>
      <x:c r="N5" s="79" t="str">
        <x:v>사전 명세</x:v>
      </x:c>
      <x:c r="O5" s="79" t="str">
        <x:v>RQ4 / H4-a</x:v>
      </x:c>
      <x:c r="P5" s="79" t="str">
        <x:v>PATH_CONFIRMATION_REQUIRED</x:v>
      </x:c>
      <x:c r="Q5" s="79" t="str">
        <x:v>NOT_READY_PATH</x:v>
      </x:c>
      <x:c r="R5" s="79" t="str"/>
      <x:c r="S5" s="79" t="str">
        <x:v>3.7</x:v>
      </x:c>
      <x:c r="T5" s="79" t="str">
        <x:v>FIG_EVALUATOR_RESOLUTION_STATIC</x:v>
      </x:c>
      <x:c r="U5" s="79" t="str">
        <x:v>정적 요약 CSV의 exact producer/path 확정</x:v>
      </x:c>
      <x:c r="V5" s="79" t="str">
        <x:v>FIG-06A</x:v>
      </x:c>
    </x:row>
    <x:row r="6" ht="88" customHeight="1">
      <x:c r="A6" s="79" t="str">
        <x:v>C05</x:v>
      </x:c>
      <x:c r="B6" s="79" t="str">
        <x:v>P1 필수 전제</x:v>
      </x:c>
      <x:c r="C6" s="79" t="str">
        <x:v>검증 우선 평가</x:v>
      </x:c>
      <x:c r="D6" s="79" t="str">
        <x:v>독립 참조정책</x:v>
      </x:c>
      <x:c r="E6" s="79" t="str">
        <x:v>Candidate-IQL은 Oracle 출력점수를 직접 사용하지 않고 학습되어, LLM과 비교하고 외부 참조로 제공할 평가자-분리 독립정책이다.</x:v>
      </x:c>
      <x:c r="F6" s="79" t="str">
        <x:v>RL 학습보상·입력과 Oracle 평가출력의 기능적 분리</x:v>
      </x:c>
      <x:c r="G6" s="79" t="str">
        <x:v>Candidate-IQL training contract; P50 candidate provenance</x:v>
      </x:c>
      <x:c r="H6" s="79" t="str">
        <x:v>실제 등급변화·보조보상 사용, Oracle output 미사용</x:v>
      </x:c>
      <x:c r="I6" s="79" t="str">
        <x:v>contract inspection + candidate vector provenance</x:v>
      </x:c>
      <x:c r="J6" s="79" t="str">
        <x:v>S01, S07, S08, S25</x:v>
      </x:c>
      <x:c r="K6" s="79" t="str">
        <x:v>S07/S08 후보 라이브러리 기록; S25 numeric vector identity</x:v>
      </x:c>
      <x:c r="L6" s="79" t="str">
        <x:v>평가자 출력과 기능적으로 분리된 독립 비교·참조정책이라고 부른다.</x:v>
      </x:c>
      <x:c r="M6" s="79" t="str">
        <x:v>완전히 외생적이거나 평가체계와 무관한 정책이라고 쓰지 않는다.</x:v>
      </x:c>
      <x:c r="N6" s="79" t="str">
        <x:v>사전 명세</x:v>
      </x:c>
      <x:c r="O6" s="79" t="str">
        <x:v>RQ2 / training contract</x:v>
      </x:c>
      <x:c r="P6" s="79" t="str">
        <x:v>PROVENANCE_PENDING</x:v>
      </x:c>
      <x:c r="Q6" s="79" t="str">
        <x:v>NOT_READY_PROVENANCE</x:v>
      </x:c>
      <x:c r="R6" s="79" t="str">
        <x:v>D03</x:v>
      </x:c>
      <x:c r="S6" s="79" t="str">
        <x:v>4.1–4.4, 4.7</x:v>
      </x:c>
      <x:c r="T6" s="79" t="str">
        <x:v>FIG_TRAIN_EVAL_SEPARATION</x:v>
      </x:c>
      <x:c r="U6" s="79" t="str">
        <x:v>P50 YAML 편입 및 Stage4/5 checkpoint·Stage7 rendered vector verifier PASS</x:v>
      </x:c>
      <x:c r="V6" s="79" t="str">
        <x:v>FIG-01C</x:v>
      </x:c>
    </x:row>
    <x:row r="7" ht="88" customHeight="1">
      <x:c r="A7" s="79" t="str">
        <x:v>C06</x:v>
      </x:c>
      <x:c r="B7" s="79" t="str">
        <x:v>P0 대표 결론</x:v>
      </x:c>
      <x:c r="C7" s="79" t="str">
        <x:v>검증 우선 평가</x:v>
      </x:c>
      <x:c r="D7" s="79" t="str">
        <x:v>Reference ladder</x:v>
      </x:c>
      <x:c r="E7" s="79" t="str">
        <x:v>Candidate-IQL은 무행동보다 양의 평균 상대 정책가치를 보였고 시드 수준 평균효과는 안정적이었지만, 모든 Oracle에서 휴리스틱보다 우월한 절대 최적정책은 아니었다.</x:v>
      </x:c>
      <x:c r="F7" s="79" t="str">
        <x:v>C3−C0, C3−C2 및 7-seed 안정성</x:v>
      </x:c>
      <x:c r="G7" s="79" t="str">
        <x:v>Candidate-IQL; α/β/γ; seed 1–7</x:v>
      </x:c>
      <x:c r="H7" s="79" t="str">
        <x:v>IC-b α C3−C0=+0.6303; 7-seed 평균 약 +0.632, SD 약 0.036; 휴리스틱 대비 결론은 Oracle 의존</x:v>
      </x:c>
      <x:c r="I7" s="79" t="str">
        <x:v>paired inference + seed mean/SD</x:v>
      </x:c>
      <x:c r="J7" s="79" t="str">
        <x:v>S09, S10</x:v>
      </x:c>
      <x:c r="K7" s="79" t="str">
        <x:v>data/reproduction/claim_evidence/source_extracts/S09_stage9_policy_summary.csv; data/reproduction/claim_evidence/source_extracts/S10_rl_seven_seed_summary.csv | claim filters: S09 policy=C3; S10 seeds=1–7</x:v>
      </x:c>
      <x:c r="L7" s="79" t="str">
        <x:v>무행동보다 유효한 평가자-분리 참조정책이라고 쓴다.</x:v>
      </x:c>
      <x:c r="M7" s="79" t="str">
        <x:v>모든 휴리스틱·Oracle·현실 기업행동보다 우월하다고 쓰지 않는다.</x:v>
      </x:c>
      <x:c r="N7" s="79" t="str">
        <x:v>사전 명세</x:v>
      </x:c>
      <x:c r="O7" s="79" t="str">
        <x:v>RQ2</x:v>
      </x:c>
      <x:c r="P7" s="79" t="str">
        <x:v>PATH_CONFIRMATION_REQUIRED</x:v>
      </x:c>
      <x:c r="Q7" s="79" t="str">
        <x:v>NOT_READY_PATH</x:v>
      </x:c>
      <x:c r="R7" s="79" t="str">
        <x:v>D03</x:v>
      </x:c>
      <x:c r="S7" s="79" t="str">
        <x:v>4.5–4.7</x:v>
      </x:c>
      <x:c r="T7" s="79" t="str">
        <x:v>TAB_REFERENCE_LADDER</x:v>
      </x:c>
      <x:c r="U7" s="79" t="str">
        <x:v>7-seed exact summary path 및 candidate vector verifier 연결</x:v>
      </x:c>
      <x:c r="V7" s="79" t="str">
        <x:v>TAB-04</x:v>
      </x:c>
    </x:row>
    <x:row r="8" ht="88" customHeight="1">
      <x:c r="A8" s="79" t="str">
        <x:v>C07</x:v>
      </x:c>
      <x:c r="B8" s="79" t="str">
        <x:v>P1 필수 전제</x:v>
      </x:c>
      <x:c r="C8" s="79" t="str">
        <x:v>행동 인터페이스·생성 제어면</x:v>
      </x:c>
      <x:c r="D8" s="79" t="str">
        <x:v>출력계약 비교</x:v>
      </x:c>
      <x:c r="E8" s="79" t="str">
        <x:v>표준 후보행동 선택에서는 LLM이 Candidate-IQL을 일관되게 능가하지 못했으나, 연속 자유작성에서는 더 높은 평가점수가 관측되었다.</x:v>
      </x:c>
      <x:c r="F8" s="79" t="str">
        <x:v>candidate_selection 대 free_form_10d; 각 정책 대 C3</x:v>
      </x:c>
      <x:c r="G8" s="79" t="str">
        <x:v>GPT-5.4-mini; IC-b; Oracle-α; frozen 575</x:v>
      </x:c>
      <x:c r="H8" s="79" t="str">
        <x:v>C3=0.6303, C4 candidate=0.5657, C4 free-form=0.8849, C6 free-form=1.1026</x:v>
      </x:c>
      <x:c r="I8" s="79" t="str">
        <x:v>paired comparisons; H4-b scope</x:v>
      </x:c>
      <x:c r="J8" s="79" t="str">
        <x:v>S09</x:v>
      </x:c>
      <x:c r="K8" s="79" t="str">
        <x:v>data/reproduction/claim_evidence/source_extracts/S09_stage9_policy_summary.csv | claim filters: S09 mode/policy/oracle filters</x:v>
      </x:c>
      <x:c r="L8" s="79" t="str">
        <x:v>출력공간이 관측 정책점수에 큰 영향을 미쳤다고 쓴다.</x:v>
      </x:c>
      <x:c r="M8" s="79" t="str">
        <x:v>자유작성 우위가 곧 기업별 판단능력 우위라고 쓰지 않는다.</x:v>
      </x:c>
      <x:c r="N8" s="79" t="str">
        <x:v>사전 명세</x:v>
      </x:c>
      <x:c r="O8" s="79" t="str">
        <x:v>RQ4 / H4-b</x:v>
      </x:c>
      <x:c r="P8" s="79" t="str">
        <x:v>FROZEN</x:v>
      </x:c>
      <x:c r="Q8" s="79" t="str">
        <x:v>READY_WITH_BOUNDARY</x:v>
      </x:c>
      <x:c r="R8" s="79" t="str"/>
      <x:c r="S8" s="79" t="str">
        <x:v>5.2</x:v>
      </x:c>
      <x:c r="T8" s="79" t="str">
        <x:v>TAB_STANDARD_VS_FREEFORM</x:v>
      </x:c>
      <x:c r="U8" s="79" t="str">
        <x:v>원점수 제시 직후 귀속질문으로 전환</x:v>
      </x:c>
      <x:c r="V8" s="79" t="str">
        <x:v>TAB-05</x:v>
      </x:c>
    </x:row>
    <x:row r="9" ht="88" customHeight="1">
      <x:c r="A9" s="79" t="str">
        <x:v>C08</x:v>
      </x:c>
      <x:c r="B9" s="79" t="str">
        <x:v>P0 대표 결론</x:v>
      </x:c>
      <x:c r="C9" s="79" t="str">
        <x:v>행동 인터페이스·생성 제어면</x:v>
      </x:c>
      <x:c r="D9" s="79" t="str">
        <x:v>성과 귀속</x:v>
      </x:c>
      <x:c r="E9" s="79" t="str">
        <x:v>자유작성 우위는 기업별 맞춤만으로 설명되지 않았고, 행동강도·공통 개선방향·연속적인 다차원 조합이 큰 기여요인으로 나타났으며 기업별 매칭은 잔여이득으로 남았다.</x:v>
      </x:c>
      <x:c r="F9" s="79" t="str">
        <x:v>global mean, row shuffle, L1 rescale, candidate-budget null, nearest projection, sign flip</x:v>
      </x:c>
      <x:c r="G9" s="79" t="str">
        <x:v>GPT-5.4-mini; IC-b 중심; evaluator-only ablation</x:v>
      </x:c>
      <x:c r="H9" s="79" t="str">
        <x:v>각 대조에서 자유작성 우위가 단계적으로 축소됨</x:v>
      </x:c>
      <x:c r="I9" s="79" t="str">
        <x:v>Evaluator-only post-hoc; 인과 분산분해 아님</x:v>
      </x:c>
      <x:c r="J9" s="79" t="str">
        <x:v>S11</x:v>
      </x:c>
      <x:c r="K9" s="79" t="str">
        <x:v>data/reproduction/claim_evidence/source_extracts/S11_freeform_attribution_manifest.json | claim filters: S11 variant-specific paired files</x:v>
      </x:c>
      <x:c r="L9" s="79" t="str">
        <x:v>행동 인터페이스가 관측점수에 크게 기여했다고 쓴다.</x:v>
      </x:c>
      <x:c r="M9" s="79" t="str">
        <x:v>기업별 맞춤능력이 없거나 공식 인과분해가 완료됐다고 쓰지 않는다.</x:v>
      </x:c>
      <x:c r="N9" s="79" t="str">
        <x:v>Evaluator-only 사후 귀속</x:v>
      </x:c>
      <x:c r="O9" s="79" t="str">
        <x:v>Output-contract ablation</x:v>
      </x:c>
      <x:c r="P9" s="79" t="str">
        <x:v>FROZEN</x:v>
      </x:c>
      <x:c r="Q9" s="79" t="str">
        <x:v>READY_WITH_BOUNDARY</x:v>
      </x:c>
      <x:c r="R9" s="79" t="str"/>
      <x:c r="S9" s="79" t="str">
        <x:v>5.3</x:v>
      </x:c>
      <x:c r="T9" s="79" t="str">
        <x:v>FIG_FREEFORM_ATTRIBUTION</x:v>
      </x:c>
      <x:c r="U9" s="79" t="str">
        <x:v>모든 문장에 evaluator-only 지위 표시</x:v>
      </x:c>
      <x:c r="V9" s="79" t="str">
        <x:v>FIG-02</x:v>
      </x:c>
    </x:row>
    <x:row r="10" ht="88" customHeight="1">
      <x:c r="A10" s="79" t="str">
        <x:v>C09</x:v>
      </x:c>
      <x:c r="B10" s="79" t="str">
        <x:v>P1 필수 전제</x:v>
      </x:c>
      <x:c r="C10" s="79" t="str">
        <x:v>행동 인터페이스·생성 제어면</x:v>
      </x:c>
      <x:c r="D10" s="79" t="str">
        <x:v>H1 추론 점수효과</x:v>
      </x:c>
      <x:c r="E10" s="79" t="str">
        <x:v>평가한 GPT-5.4-mini, GPT-4.1-mini, Haiku 4.5의 사전명세 H1 자유작성 계약에서 추론 유도는 점수효과를 낮췄고 세 백엔드 모두 Holm 보정 후 유의했다.</x:v>
      </x:c>
      <x:c r="F10" s="79" t="str">
        <x:v>세 백엔드의 사전명세 H1 score contrast</x:v>
      </x:c>
      <x:c r="G10" s="79" t="str">
        <x:v>H1 기존 3백엔드 자유작성 코호트: GPT-5.4-mini, GPT-4.1-mini, Haiku 4.5 · IC-b · free_form_10d. E4 matched-budget QC와는 별도 실행계약</x:v>
      </x:c>
      <x:c r="H10" s="79" t="str">
        <x:v>동결 H1 backend-specific 효과는 −0.192/−0.238/−0.245이며 세 백엔드 모두 Holm 유의. 정확한 backend–estimate 매핑은 S12의 backend 열을 보존한 canonical extract로 고정한다.</x:v>
      </x:c>
      <x:c r="I10" s="79" t="str">
        <x:v>backend별 paired contrast + Holm. 기존 H1 실행계약 범위 안의 판정이며 E4 matched-budget QC를 소급 적용하지 않는다.</x:v>
      </x:c>
      <x:c r="J10" s="79" t="str">
        <x:v>S12</x:v>
      </x:c>
      <x:c r="K10" s="79" t="str">
        <x:v>data/reproduction/claim_evidence/source_extracts/S12_h1_reasoning_score.csv | backend∈{gpt54mini,gpt41mini,haiku45} | information_condition=IC-b | mode=free_form_10d | columns=backend,contrast,mean_diff,ci_low,ci_high,p_raw,p_holm,decision</x:v>
      </x:c>
      <x:c r="L10" s="79" t="str">
        <x:v>사전명세 H1의 3백엔드 자유작성 계약에서 추론 유도의 점수효과가 모두 음수였다고 쓴다.</x:v>
      </x:c>
      <x:c r="M10" s="79" t="str">
        <x:v>추론이 항상 해롭거나 모든 모델·계약에서 내부 사고품질을 낮춘다고 쓰지 않는다.</x:v>
      </x:c>
      <x:c r="N10" s="79" t="str">
        <x:v>사전 명세</x:v>
      </x:c>
      <x:c r="O10" s="79" t="str">
        <x:v>H1</x:v>
      </x:c>
      <x:c r="P10" s="79" t="str">
        <x:v>FROZEN</x:v>
      </x:c>
      <x:c r="Q10" s="79" t="str">
        <x:v>READY_WITH_BOUNDARY</x:v>
      </x:c>
      <x:c r="R10" s="79" t="str">
        <x:v>D10</x:v>
      </x:c>
      <x:c r="S10" s="79" t="str">
        <x:v>5.4</x:v>
      </x:c>
      <x:c r="T10" s="79" t="str">
        <x:v>TAB_REASONING_SCORE_EFFECT</x:v>
      </x:c>
      <x:c r="U10" s="79" t="str">
        <x:v>S12 extractor에서 backend label·Holm family·3개 판정을 보존</x:v>
      </x:c>
      <x:c r="V10" s="79" t="str">
        <x:v>TAB-06C</x:v>
      </x:c>
    </x:row>
    <x:row r="11" ht="88" customHeight="1">
      <x:c r="A11" s="79" t="str">
        <x:v>C10</x:v>
      </x:c>
      <x:c r="B11" s="79" t="str">
        <x:v>P1 필수 전제</x:v>
      </x:c>
      <x:c r="C11" s="79" t="str">
        <x:v>행동 인터페이스·생성 제어면</x:v>
      </x:c>
      <x:c r="D11" s="79" t="str">
        <x:v>정보조건</x:v>
      </x:c>
      <x:c r="E11" s="79" t="str">
        <x:v>정보범위 확대와 실명 제공은 평균 정책점수를 일관되게 개선하지 않았고, 기업명 인식 여부가 IC-c−IC-b 효과를 체계적으로 조절한다는 강건한 증거도 발견되지 않았다.</x:v>
      </x:c>
      <x:c r="F11" s="79" t="str">
        <x:v>IC-a/b/c 및 recognized 444 대 unrecognized 131의 IC-c−IC-b</x:v>
      </x:c>
      <x:c r="G11" s="79" t="str">
        <x:v>GPT-5.4-mini; 575 firms; 36 conditional tests</x:v>
      </x:c>
      <x:c r="H11" s="79" t="str">
        <x:v>permutation 20,000회; 최소 raw p=0.0217도 Holm p=0.7812</x:v>
      </x:c>
      <x:c r="I11" s="79" t="str">
        <x:v>bootstrap CI + permutation + Holm</x:v>
      </x:c>
      <x:c r="J11" s="79" t="str">
        <x:v>S13</x:v>
      </x:c>
      <x:c r="K11" s="79" t="str">
        <x:v>data/reproduction/claim_evidence/source_extracts/S13_icc_recognition_conditional.csv | claim filters: S13 all 36 tests</x:v>
      </x:c>
      <x:c r="L11" s="79" t="str">
        <x:v>인식 여부의 강건한 조절효과가 발견되지 않았다고 쓴다.</x:v>
      </x:c>
      <x:c r="M11" s="79" t="str">
        <x:v>사전학습 오염이 없다고 결론내리지 않는다.</x:v>
      </x:c>
      <x:c r="N11" s="79" t="str">
        <x:v>사전 명세</x:v>
      </x:c>
      <x:c r="O11" s="79" t="str">
        <x:v>RQ5 / H5 + conditional audit</x:v>
      </x:c>
      <x:c r="P11" s="79" t="str">
        <x:v>FROZEN</x:v>
      </x:c>
      <x:c r="Q11" s="79" t="str">
        <x:v>READY_WITH_BOUNDARY</x:v>
      </x:c>
      <x:c r="R11" s="79" t="str"/>
      <x:c r="S11" s="79" t="str">
        <x:v>5.5</x:v>
      </x:c>
      <x:c r="T11" s="79" t="str">
        <x:v>TAB_INFORMATION_AND_RECOGNITION</x:v>
      </x:c>
      <x:c r="U11" s="79" t="str">
        <x:v>감사 CSV를 저장소로 이관</x:v>
      </x:c>
      <x:c r="V11" s="79" t="str">
        <x:v>TAB-06B</x:v>
      </x:c>
    </x:row>
    <x:row r="12" ht="88" customHeight="1">
      <x:c r="A12" s="79" t="str">
        <x:v>C11</x:v>
      </x:c>
      <x:c r="B12" s="79" t="str">
        <x:v>P2 보조 강건성</x:v>
      </x:c>
      <x:c r="C12" s="79" t="str">
        <x:v>감사·강건성</x:v>
      </x:c>
      <x:c r="D12" s="79" t="str">
        <x:v>다중해상도 재현성</x:v>
      </x:c>
      <x:c r="E12" s="79" t="str">
        <x:v>평균 정책가치의 안정성과 기업별 효과순위·행동벡터의 안정성은 구분해야 하며, 집계효과의 반복은 개별 행동의 반복을 보장하지 않는다.</x:v>
      </x:c>
      <x:c r="F12" s="79" t="str">
        <x:v>시드·live repeat 간 평균효과, firm-level rank, action identity</x:v>
      </x:c>
      <x:c r="G12" s="79" t="str">
        <x:v>RL seeds 1–7; E2/E3 matching GPT repeats</x:v>
      </x:c>
      <x:c r="H12" s="79" t="str">
        <x:v>RL 평균 안정성과 행동정체성 변동; LLM firm-level rank/action identity의 낮은 재현성</x:v>
      </x:c>
      <x:c r="I12" s="79" t="str">
        <x:v>해상도별 별도 지표</x:v>
      </x:c>
      <x:c r="J12" s="79" t="str">
        <x:v>S10, S19</x:v>
      </x:c>
      <x:c r="K12" s="79" t="str">
        <x:v>data/reproduction/claim_evidence/source_extracts/S10_rl_seven_seed_summary.csv; data/reproduction/claim_evidence/source_extracts/S19_e2_e3_lineage.csv | claim filters: S10 seed outputs; S19 raw-response/action identity</x:v>
      </x:c>
      <x:c r="L12" s="79" t="str">
        <x:v>재현성을 평균·대비·순위·행동·축·계약 수준으로 분리한다.</x:v>
      </x:c>
      <x:c r="M12" s="79" t="str">
        <x:v>평균이 반복되므로 기업별 권고도 재현된다고 쓰지 않는다.</x:v>
      </x:c>
      <x:c r="N12" s="79" t="str">
        <x:v>QC·프로토콜 감사</x:v>
      </x:c>
      <x:c r="O12" s="79" t="str">
        <x:v>Reproducibility audit</x:v>
      </x:c>
      <x:c r="P12" s="79" t="str">
        <x:v>PATH_CONFIRMATION_REQUIRED</x:v>
      </x:c>
      <x:c r="Q12" s="79" t="str">
        <x:v>NOT_READY_PATH</x:v>
      </x:c>
      <x:c r="R12" s="79" t="str"/>
      <x:c r="S12" s="79" t="str">
        <x:v>5.6, 6.8</x:v>
      </x:c>
      <x:c r="T12" s="79" t="str">
        <x:v>FIG_MULTIRES_REPRODUCIBILITY</x:v>
      </x:c>
      <x:c r="U12" s="79" t="str">
        <x:v>RL 7-seed exact path와 firm-level reproducibility 원장 연결</x:v>
      </x:c>
      <x:c r="V12" s="79" t="str">
        <x:v>FIG-06C</x:v>
      </x:c>
    </x:row>
    <x:row r="13" ht="88" customHeight="1">
      <x:c r="A13" s="79" t="str">
        <x:v>C12</x:v>
      </x:c>
      <x:c r="B13" s="79" t="str">
        <x:v>P1 필수 전제</x:v>
      </x:c>
      <x:c r="C13" s="79" t="str">
        <x:v>예산계약 조건부 수정</x:v>
      </x:c>
      <x:c r="D13" s="79" t="str">
        <x:v>H3 참조 출처</x:v>
      </x:c>
      <x:c r="E13" s="79" t="str">
        <x:v>LLM은 Candidate-IQL 참조와 무작위 참조에 차별적으로 반응했으며, 자유작성에서 C6이 C6X보다 일관되게 높았다.</x:v>
      </x:c>
      <x:c r="F13" s="79" t="str">
        <x:v>C6−C6X</x:v>
      </x:c>
      <x:c r="G13" s="79" t="str">
        <x:v>H3 기존 자유작성 참조출처 코호트: GPT-5.4-mini, GPT-4.1-mini, Haiku · IC-b · free_form_10d. E4 matched-budget QC와는 별도 실행계약</x:v>
      </x:c>
      <x:c r="H13" s="79" t="str">
        <x:v>α: +0.174, +0.310, +0.179; Holm 보정 후 유의</x:v>
      </x:c>
      <x:c r="I13" s="79" t="str">
        <x:v>Holm-adjusted paired contrast. Haiku H3 결과의 적격성은 기존 H3 계약에 한정되며, E4 matched-budget QC 탈락과 혼동하지 않는다.</x:v>
      </x:c>
      <x:c r="J13" s="79" t="str">
        <x:v>S14</x:v>
      </x:c>
      <x:c r="K13" s="79" t="str">
        <x:v>data/reproduction/claim_evidence/source_extracts/S14_h3_reference_source.csv | claim filters: S14 contrast=C6-C6X</x:v>
      </x:c>
      <x:c r="L13" s="79" t="str">
        <x:v>참조 정체성에 대한 차별적 반응은 C6−C4R에서 관측된 참조증분이 참조내용의 질과 관련된다는 보조 타당성을 제공한다.</x:v>
      </x:c>
      <x:c r="M13" s="79" t="str">
        <x:v>C6−C6X가 C6−C4R 식별을 성립시키는 필수 전제라고 쓰지 않는다.</x:v>
      </x:c>
      <x:c r="N13" s="79" t="str">
        <x:v>사전 명세</x:v>
      </x:c>
      <x:c r="O13" s="79" t="str">
        <x:v>H3</x:v>
      </x:c>
      <x:c r="P13" s="79" t="str">
        <x:v>FROZEN</x:v>
      </x:c>
      <x:c r="Q13" s="79" t="str">
        <x:v>READY_WITH_BOUNDARY</x:v>
      </x:c>
      <x:c r="R13" s="79" t="str">
        <x:v>D02, D07</x:v>
      </x:c>
      <x:c r="S13" s="79" t="str">
        <x:v>6.4.1</x:v>
      </x:c>
      <x:c r="T13" s="79" t="str">
        <x:v>TAB_REFERENCE_SOURCE</x:v>
      </x:c>
      <x:c r="U13" s="79" t="str">
        <x:v>‘전제’ 표현 전수 제거</x:v>
      </x:c>
      <x:c r="V13" s="79" t="str">
        <x:v>TAB-08A</x:v>
      </x:c>
    </x:row>
    <x:row r="14" ht="88" customHeight="1">
      <x:c r="A14" s="79" t="str">
        <x:v>C13</x:v>
      </x:c>
      <x:c r="B14" s="79" t="str">
        <x:v>P2 보조 강건성</x:v>
      </x:c>
      <x:c r="C14" s="79" t="str">
        <x:v>예산계약 조건부 수정</x:v>
      </x:c>
      <x:c r="D14" s="79" t="str">
        <x:v>C8 참조 제시 시점</x:v>
      </x:c>
      <x:c r="E14" s="79" t="str">
        <x:v>C8은 참조 제시 시점이 결과에 영향을 미치는지를 확인하기 위한 사전명세 보조대조이며, 효과의 방향과 판정은 paired contrast 원장을 확인한 뒤 확정한다.</x:v>
      </x:c>
      <x:c r="F14" s="79" t="str">
        <x:v>C8 timing contrast</x:v>
      </x:c>
      <x:c r="G14" s="79" t="str">
        <x:v>GPT-5.4-mini; IC-b; free_form_10d</x:v>
      </x:c>
      <x:c r="H14" s="79" t="str">
        <x:v>현재 policy mean은 존재하나 exact paired inference 경로 미연결</x:v>
      </x:c>
      <x:c r="I14" s="79" t="str">
        <x:v>paired N·multiplicity family 확인 전 결과형 문장 금지</x:v>
      </x:c>
      <x:c r="J14" s="79" t="str">
        <x:v>S15</x:v>
      </x:c>
      <x:c r="K14" s="79" t="str">
        <x:v>data/reproduction/claim_evidence/source_extracts/S15_c8_timing_contrast.csv | claim filters: S15 exact contrast pending</x:v>
      </x:c>
      <x:c r="L14" s="79" t="str">
        <x:v>참조 제시 시점의 효과를 검증하는 분석계약으로 소개한다.</x:v>
      </x:c>
      <x:c r="M14" s="79" t="str">
        <x:v>경로 확인 전 ‘중립요소가 아니었다’ 또는 유의성을 단정하지 않는다.</x:v>
      </x:c>
      <x:c r="N14" s="79" t="str">
        <x:v>사전 명세</x:v>
      </x:c>
      <x:c r="O14" s="79" t="str">
        <x:v>RQ3 / timing control</x:v>
      </x:c>
      <x:c r="P14" s="79" t="str">
        <x:v>PATH_CONFIRMATION_REQUIRED</x:v>
      </x:c>
      <x:c r="Q14" s="79" t="str">
        <x:v>NOT_READY_PATH</x:v>
      </x:c>
      <x:c r="R14" s="79" t="str"/>
      <x:c r="S14" s="79" t="str">
        <x:v>6.4.1</x:v>
      </x:c>
      <x:c r="T14" s="79" t="str">
        <x:v>TAB_REFERENCE_TIMING</x:v>
      </x:c>
      <x:c r="U14" s="79" t="str">
        <x:v>C8 paired contrast·Holm family·decision 원장 연결</x:v>
      </x:c>
      <x:c r="V14" s="79" t="str">
        <x:v>TAB-08B</x:v>
      </x:c>
    </x:row>
    <x:row r="15" ht="88" customHeight="1">
      <x:c r="A15" s="79" t="str">
        <x:v>C14</x:v>
      </x:c>
      <x:c r="B15" s="79" t="str">
        <x:v>P0 대표 결론</x:v>
      </x:c>
      <x:c r="C15" s="79" t="str">
        <x:v>예산계약 조건부 수정</x:v>
      </x:c>
      <x:c r="D15" s="79" t="str">
        <x:v>전체 패키지</x:v>
      </x:c>
      <x:c r="E15" s="79" t="str">
        <x:v>명시적 총 L1 예산을 부여한 조건에서는 비예산지시 조건보다 전체 수정 패키지 C6−C4의 증분가치가 약했다.</x:v>
      </x:c>
      <x:c r="F15" s="79" t="str">
        <x:v>finite budget minus no-explicit-budget package interaction</x:v>
      </x:c>
      <x:c r="G15" s="79" t="str">
        <x:v>GPT-5.4-mini 및 Gemini 3.1 Flash-Lite; IC-b; α; matched 575</x:v>
      </x:c>
      <x:c r="H15" s="79" t="str">
        <x:v>GPT interactions: −0.2049/−0.0893/−0.1381; Gemini: −0.3520/−0.3057/−0.2776</x:v>
      </x:c>
      <x:c r="I15" s="79" t="str">
        <x:v>Holm-adjusted interactions; backend 내부 비교</x:v>
      </x:c>
      <x:c r="J15" s="79" t="str">
        <x:v>S16, S17</x:v>
      </x:c>
      <x:c r="K15" s="79" t="str">
        <x:v>data/reproduction/claim_evidence/source_extracts/S16_e3_interactions.csv; data/reproduction/claim_evidence/source_extracts/S17_e3_contrasts.csv | claim filters: S16 component=package; S17 within-arm context</x:v>
      </x:c>
      <x:c r="L15" s="79" t="str">
        <x:v>평가한 두 백엔드의 유한 예산계약에서 패키지 증분이 약했다고 쓴다.</x:v>
      </x:c>
      <x:c r="M15" s="79" t="str">
        <x:v>순수 물리적 행동량만의 인과효과 또는 모든 LLM의 보편법칙이라고 쓰지 않는다.</x:v>
      </x:c>
      <x:c r="N15" s="79" t="str">
        <x:v>실행 전 동결 확장</x:v>
      </x:c>
      <x:c r="O15" s="79" t="str">
        <x:v>E3; E1 successor</x:v>
      </x:c>
      <x:c r="P15" s="79" t="str">
        <x:v>FROZEN</x:v>
      </x:c>
      <x:c r="Q15" s="79" t="str">
        <x:v>READY_WITH_BOUNDARY</x:v>
      </x:c>
      <x:c r="R15" s="79" t="str">
        <x:v>D01</x:v>
      </x:c>
      <x:c r="S15" s="79" t="str">
        <x:v>6.1, 6.6</x:v>
      </x:c>
      <x:c r="T15" s="79" t="str">
        <x:v>FIG_BUDGET_COMPONENT_INTERACTION</x:v>
      </x:c>
      <x:c r="U15" s="79" t="str">
        <x:v>E1 수치와 무라벨 혼합 금지</x:v>
      </x:c>
      <x:c r="V15" s="79" t="str">
        <x:v>FIG-04 / TAB-07</x:v>
      </x:c>
    </x:row>
    <x:row r="16" ht="88" customHeight="1">
      <x:c r="A16" s="79" t="str">
        <x:v>C15</x:v>
      </x:c>
      <x:c r="B16" s="79" t="str">
        <x:v>P0 대표 결론</x:v>
      </x:c>
      <x:c r="C16" s="79" t="str">
        <x:v>예산계약 조건부 수정</x:v>
      </x:c>
      <x:c r="D16" s="79" t="str">
        <x:v>GPT 자기 재검토</x:v>
      </x:c>
      <x:c r="E16" s="79" t="str">
        <x:v>GPT-5.4-mini의 유한예산 조건에서는 자기 재검토 성분이 음수였고 비예산지시 조건에서는 양수여서, 전체 패키지 약화는 주로 자기 재검토 성분에서 발생했다.</x:v>
      </x:c>
      <x:c r="F16" s="79" t="str">
        <x:v>GPT self_revision by budget and finite−no-budget interaction</x:v>
      </x:c>
      <x:c r="G16" s="79" t="str">
        <x:v>GPT-5.4-mini; IC-b; α; matched 575</x:v>
      </x:c>
      <x:c r="H16" s="79" t="str">
        <x:v>Within-arm self-review: 0.75 −0.104974, 1.27 −0.046174, 2.00 −0.114487, 비예산 +0.041438. Finite−비예산 interaction 분해: package −0.204863/−0.089263/−0.138143 = self-review −0.146411/−0.087612/−0.155924 + reference −0.058451/−0.001651/+0.017781. 세 유한예산 모두 package 약화의 절대 기여가 self-review interaction에서 더 큼.</x:v>
      </x:c>
      <x:c r="I16" s="79" t="str">
        <x:v>Paired CI + Holm interaction. ‘주로’는 각 예산에서 |self-review interaction| &gt; |reference interaction|이라는 성분분해에 근거한다.</x:v>
      </x:c>
      <x:c r="J16" s="79" t="str">
        <x:v>S16, S17, S20, S21</x:v>
      </x:c>
      <x:c r="K16" s="79" t="str">
        <x:v>data/reproduction/claim_evidence/source_extracts/S16_e3_interactions.csv | backend=gpt54mini | oracle=alpha | components={package,self_revision,reference_content_conditional} | budgets={0p75,1p27,2p00} | columns=finite_minus_unbounded_interaction,p_holm</x:v>
      </x:c>
      <x:c r="L16" s="79" t="str">
        <x:v>직접 결과는 자기 재검토 성분의 손실이며, 행동구성 분석은 이를 재배분 손실로 해석하는 추가 근거를 제공한다.</x:v>
      </x:c>
      <x:c r="M16" s="79" t="str">
        <x:v>모든 GPT 또는 모든 자기수정이 해롭거나 내부 사고가 실패했다고 쓰지 않는다.</x:v>
      </x:c>
      <x:c r="N16" s="79" t="str">
        <x:v>실행 전 동결 확장</x:v>
      </x:c>
      <x:c r="O16" s="79" t="str">
        <x:v>E2/E3</x:v>
      </x:c>
      <x:c r="P16" s="79" t="str">
        <x:v>FROZEN</x:v>
      </x:c>
      <x:c r="Q16" s="79" t="str">
        <x:v>READY_WITH_BOUNDARY</x:v>
      </x:c>
      <x:c r="R16" s="79" t="str">
        <x:v>D08</x:v>
      </x:c>
      <x:c r="S16" s="79" t="str">
        <x:v>6.2, 6.6</x:v>
      </x:c>
      <x:c r="T16" s="79" t="str">
        <x:v>FIG_BUDGET_COMPONENT_INTERACTION</x:v>
      </x:c>
      <x:c r="U16" s="79" t="str">
        <x:v>직접 결과와 재배분 해석을 분리</x:v>
      </x:c>
      <x:c r="V16" s="79" t="str">
        <x:v>FIG-04 / TAB-07</x:v>
      </x:c>
    </x:row>
    <x:row r="17" ht="88" customHeight="1">
      <x:c r="A17" s="79" t="str">
        <x:v>C16</x:v>
      </x:c>
      <x:c r="B17" s="79" t="str">
        <x:v>P1 필수 전제</x:v>
      </x:c>
      <x:c r="C17" s="79" t="str">
        <x:v>예산계약 조건부 수정</x:v>
      </x:c>
      <x:c r="D17" s="79" t="str">
        <x:v>GPT 참조 회복</x:v>
      </x:c>
      <x:c r="E17" s="79" t="str">
        <x:v>GPT-5.4-mini의 참조내용 조건부 증분 C6−C4R은 모든 예산에서 양수였고, 유한예산 자기 재검토 손실을 부분적으로 복구했다.</x:v>
      </x:c>
      <x:c r="F17" s="79" t="str">
        <x:v>GPT reference_content_conditional by budget</x:v>
      </x:c>
      <x:c r="G17" s="79" t="str">
        <x:v>GPT-5.4-mini; IC-b; α; matched 575</x:v>
      </x:c>
      <x:c r="H17" s="79" t="str">
        <x:v>0.75 +0.0762, 1.27 +0.1330, 2.00 +0.1524, 비예산 +0.1346</x:v>
      </x:c>
      <x:c r="I17" s="79" t="str">
        <x:v>paired CI; TOST margin 0.109</x:v>
      </x:c>
      <x:c r="J17" s="79" t="str">
        <x:v>S17, S18, S14</x:v>
      </x:c>
      <x:c r="K17" s="79" t="str">
        <x:v>data/reproduction/claim_evidence/source_extracts/S17_e3_contrasts.csv; data/reproduction/claim_evidence/source_extracts/S18_tost_manifest.json; data/reproduction/claim_evidence/source_extracts/S14_h3_reference_source.csv | claim filters: S17 component=reference; S18 equivalence; S14 auxiliary identity validation</x:v>
      </x:c>
      <x:c r="L17" s="79" t="str">
        <x:v>C4R–C6 matched design을 식별 근거로 제시하고 C6–C6X를 참조 정체성에 관한 보조 타당화로 연결한다.</x:v>
      </x:c>
      <x:c r="M17" s="79" t="str">
        <x:v>참조가 항상 유익하거나 모든 기업에 자동 적용해야 한다고 쓰지 않는다.</x:v>
      </x:c>
      <x:c r="N17" s="79" t="str">
        <x:v>실행 전 동결 확장</x:v>
      </x:c>
      <x:c r="O17" s="79" t="str">
        <x:v>E2/E3 + H3 auxiliary</x:v>
      </x:c>
      <x:c r="P17" s="79" t="str">
        <x:v>FROZEN</x:v>
      </x:c>
      <x:c r="Q17" s="79" t="str">
        <x:v>READY_WITH_BOUNDARY</x:v>
      </x:c>
      <x:c r="R17" s="79" t="str">
        <x:v>D02</x:v>
      </x:c>
      <x:c r="S17" s="79" t="str">
        <x:v>6.2, 6.4.1, 6.6</x:v>
      </x:c>
      <x:c r="T17" s="79" t="str">
        <x:v>FIG_BUDGET_COMPONENT_INTERACTION</x:v>
      </x:c>
      <x:c r="U17" s="79" t="str">
        <x:v>‘C6X 전제’ 문구 제거</x:v>
      </x:c>
      <x:c r="V17" s="79" t="str">
        <x:v>FIG-04 / TAB-07</x:v>
      </x:c>
    </x:row>
    <x:row r="18" ht="88" customHeight="1">
      <x:c r="A18" s="79" t="str">
        <x:v>C17</x:v>
      </x:c>
      <x:c r="B18" s="79" t="str">
        <x:v>P0 대표 결론</x:v>
      </x:c>
      <x:c r="C18" s="79" t="str">
        <x:v>예산계약 조건부 수정</x:v>
      </x:c>
      <x:c r="D18" s="79" t="str">
        <x:v>Gemini 참조 민감성</x:v>
      </x:c>
      <x:c r="E18" s="79" t="str">
        <x:v>Gemini 3.1 Flash-Lite의 참조증분 단계는 자기 재검토 단계보다 예산조건에 더 민감했다.</x:v>
      </x:c>
      <x:c r="F18" s="79" t="str">
        <x:v>Gemini self_revision와 reference_content_conditional의 finite−no-budget interactions</x:v>
      </x:c>
      <x:c r="G18" s="79" t="str">
        <x:v>Gemini 3.1 Flash-Lite; IC-b; α; matched 575</x:v>
      </x:c>
      <x:c r="H18" s="79" t="str">
        <x:v>self-review 약 +0.062~+0.070 대 비예산 +0.0189; reference −0.001/+0.045/+0.081 대 비예산 +0.402</x:v>
      </x:c>
      <x:c r="I18" s="79" t="str">
        <x:v>paired CI, Holm interactions, TOST</x:v>
      </x:c>
      <x:c r="J18" s="79" t="str">
        <x:v>S16, S17, S18</x:v>
      </x:c>
      <x:c r="K18" s="79" t="str">
        <x:v>data/reproduction/claim_evidence/source_extracts/S16_e3_interactions.csv; data/reproduction/claim_evidence/source_extracts/S17_e3_contrasts.csv; data/reproduction/claim_evidence/source_extracts/S18_tost_manifest.json | claim filters: backend=gemini31flashlite; components=self_revision/reference</x:v>
      </x:c>
      <x:c r="L18" s="79" t="str">
        <x:v>이 직접 결과는 해당 코호트에서 참조 구현 병목과 정합적인 통합 해석을 지지한다.</x:v>
      </x:c>
      <x:c r="M18" s="79" t="str">
        <x:v>Gemini가 참조를 이해하지 못하거나 모든 Gemini의 보편법칙이라고 쓰지 않는다.</x:v>
      </x:c>
      <x:c r="N18" s="79" t="str">
        <x:v>실행 전 동결 확장</x:v>
      </x:c>
      <x:c r="O18" s="79" t="str">
        <x:v>E3</x:v>
      </x:c>
      <x:c r="P18" s="79" t="str">
        <x:v>FROZEN</x:v>
      </x:c>
      <x:c r="Q18" s="79" t="str">
        <x:v>READY_WITH_BOUNDARY</x:v>
      </x:c>
      <x:c r="R18" s="79" t="str"/>
      <x:c r="S18" s="79" t="str">
        <x:v>6.6</x:v>
      </x:c>
      <x:c r="T18" s="79" t="str">
        <x:v>FIG_BUDGET_COMPONENT_INTERACTION</x:v>
      </x:c>
      <x:c r="U18" s="79" t="str">
        <x:v>직접 결과와 ‘병목’ 해석을 분리</x:v>
      </x:c>
      <x:c r="V18" s="79" t="str">
        <x:v>FIG-04 / TAB-07</x:v>
      </x:c>
    </x:row>
    <x:row r="19" ht="88" customHeight="1">
      <x:c r="A19" s="79" t="str">
        <x:v>C18</x:v>
      </x:c>
      <x:c r="B19" s="79" t="str">
        <x:v>P1 필수 전제</x:v>
      </x:c>
      <x:c r="C19" s="79" t="str">
        <x:v>행동 인터페이스·생성 제어면</x:v>
      </x:c>
      <x:c r="D19" s="79" t="str">
        <x:v>Raw 생성형성</x:v>
      </x:c>
      <x:c r="E19" s="79" t="str">
        <x:v>예산계약에 따른 차이는 applied-action clipping 이후에만 발생하지 않았으며, 후처리 이전 raw L1·활성축·행동질량 집중도에서 이미 나타났다.</x:v>
      </x:c>
      <x:c r="F19" s="79" t="str">
        <x:v>finite budget 대 비예산지시의 동일 기업·정책 raw output paired comparison</x:v>
      </x:c>
      <x:c r="G19" s="79" t="str">
        <x:v>GPT-5.4-mini 및 Gemini 3.1 Flash-Lite; C4/C4R/C6</x:v>
      </x:c>
      <x:c r="H19" s="79" t="str">
        <x:v>예: GPT C4 raw L1 0.75 약 0.432 대 비예산 약 2.298; Gemini 0.721 대 2.320</x:v>
      </x:c>
      <x:c r="I19" s="79" t="str">
        <x:v>paired tests; raw mechanism only</x:v>
      </x:c>
      <x:c r="J19" s="79" t="str">
        <x:v>S20, S21</x:v>
      </x:c>
      <x:c r="K19" s="79" t="str">
        <x:v>data/reproduction/claim_evidence/source_extracts/S20_raw_action_summary.csv; data/reproduction/claim_evidence/source_extracts/S21_raw_action_budget_tests.csv | claim filters: budget/backend/condition paired filters</x:v>
      </x:c>
      <x:c r="L19" s="79" t="str">
        <x:v>예산계약이 raw 생성정책을 형성했다는 메커니즘 근거로 쓴다.</x:v>
      </x:c>
      <x:c r="M19" s="79" t="str">
        <x:v>텍스트 예산문구만의 순수효과 또는 raw 행동으로 점수검정을 했다고 쓰지 않는다.</x:v>
      </x:c>
      <x:c r="N19" s="79" t="str">
        <x:v>QC·프로토콜 감사</x:v>
      </x:c>
      <x:c r="O19" s="79" t="str">
        <x:v>Canonical raw-action audit</x:v>
      </x:c>
      <x:c r="P19" s="79" t="str">
        <x:v>FROZEN</x:v>
      </x:c>
      <x:c r="Q19" s="79" t="str">
        <x:v>READY_WITH_BOUNDARY</x:v>
      </x:c>
      <x:c r="R19" s="79" t="str"/>
      <x:c r="S19" s="79" t="str">
        <x:v>6.3.1</x:v>
      </x:c>
      <x:c r="T19" s="79" t="str">
        <x:v>FIG_RAW_APPLIED_ACTION_PATH</x:v>
      </x:c>
      <x:c r="U19" s="79" t="str">
        <x:v>감사 산출물을 저장소로 이관</x:v>
      </x:c>
      <x:c r="V19" s="79" t="str">
        <x:v>FIG-05</x:v>
      </x:c>
    </x:row>
    <x:row r="20" ht="88" customHeight="1">
      <x:c r="A20" s="79" t="str">
        <x:v>C19</x:v>
      </x:c>
      <x:c r="B20" s="79" t="str">
        <x:v>P1 필수 전제</x:v>
      </x:c>
      <x:c r="C20" s="79" t="str">
        <x:v>행동 인터페이스·생성 제어면</x:v>
      </x:c>
      <x:c r="D20" s="79" t="str">
        <x:v>축별 후처리</x:v>
      </x:c>
      <x:c r="E20" s="79" t="str">
        <x:v>총 L1 raw 초과는 대체로 드물었지만, 유효 기업 575개 중 하나 이상의 축에서 hard-bound clipping이 발생한 기업 비율은 상당했으며 특히 Gemini 유한예산에서 높아, 예산효과는 raw 생성형성과 후처리의 결합으로 해석해야 한다.</x:v>
      </x:c>
      <x:c r="F20" s="79" t="str">
        <x:v>raw over-budget, axis clipping, 95% near-budget</x:v>
      </x:c>
      <x:c r="G20" s="79" t="str">
        <x:v>GPT-5.4-mini 및 Gemini 3.1 Flash-Lite; C4/C4R/C6</x:v>
      </x:c>
      <x:c r="H20" s="79" t="str">
        <x:v>분모는 각 셀의 유효 기업 n=575. axis-bound clipping 기업률은 10개 축 중 하나 이상에서 raw≠applied hard-bound clipping이 발생한 기업 수/n. GPT 0.75/C4: raw 총 L1 초과 0.87%, clipping 기업률 48.17%, 95% 근접소진 1.04%; Gemini: 0.35%, 76.52%, 34.43%.</x:v>
      </x:c>
      <x:c r="I20" s="79" t="str">
        <x:v>Canonical denominator=n valid firms. axis_bound_clip_firm_rate는 clipped-axis share가 아니라 ≥1 clipped axis를 가진 기업 비율이다.</x:v>
      </x:c>
      <x:c r="J20" s="79" t="str">
        <x:v>S22</x:v>
      </x:c>
      <x:c r="K20" s="79" t="str">
        <x:v>data/reproduction/claim_evidence/source_extracts/S22_canonical_clipping.csv | backend∈{gpt54mini,gemini31flashlite} | budget=0p75 | policy=C4 | columns=n,total_l1_raw_over_budget_rate,axis_bound_clip_firm_rate,near_95pct_budget_rate</x:v>
      </x:c>
      <x:c r="L20" s="79" t="str">
        <x:v>총량 상한 직접구속만으로 설명되지 않지만 축별 clipping도 중요하다고 쓴다.</x:v>
      </x:c>
      <x:c r="M20" s="79" t="str">
        <x:v>후처리를 무시하거나 예산효과가 모두 prompt shaping이라고 쓰지 않는다.</x:v>
      </x:c>
      <x:c r="N20" s="79" t="str">
        <x:v>QC·프로토콜 감사</x:v>
      </x:c>
      <x:c r="O20" s="79" t="str">
        <x:v>Canonical clipping audit</x:v>
      </x:c>
      <x:c r="P20" s="79" t="str">
        <x:v>FROZEN</x:v>
      </x:c>
      <x:c r="Q20" s="79" t="str">
        <x:v>READY</x:v>
      </x:c>
      <x:c r="R20" s="79" t="str">
        <x:v>D09</x:v>
      </x:c>
      <x:c r="S20" s="79" t="str">
        <x:v>6.3.2</x:v>
      </x:c>
      <x:c r="T20" s="79" t="str">
        <x:v>TAB_CANONICAL_CLIPPING</x:v>
      </x:c>
      <x:c r="U20" s="79" t="str">
        <x:v>과거 비canonical 수치 전부 제거</x:v>
      </x:c>
      <x:c r="V20" s="79" t="str">
        <x:v>TAB-07B</x:v>
      </x:c>
    </x:row>
    <x:row r="21" ht="88" customHeight="1">
      <x:c r="A21" s="79" t="str">
        <x:v>C20</x:v>
      </x:c>
      <x:c r="B21" s="79" t="str">
        <x:v>P2 보조 강건성</x:v>
      </x:c>
      <x:c r="C21" s="79" t="str">
        <x:v>행동 인터페이스·생성 제어면</x:v>
      </x:c>
      <x:c r="D21" s="79" t="str">
        <x:v>수정 희석</x:v>
      </x:c>
      <x:c r="E21" s="79" t="str">
        <x:v>제한예산에서 더 작은 행동량이 더 많은 축으로 분산되고 고영향 축의 집중도가 약해지는 경우 이를 ‘수정 희석과 정합적인 패턴’으로 해석할 수 있다.</x:v>
      </x:c>
      <x:c r="F21" s="79" t="str">
        <x:v>C4→C4R의 L1, active dimensions, concentration, removal mass, score</x:v>
      </x:c>
      <x:c r="G21" s="79" t="str">
        <x:v>E3 GPT/Gemini; budget cells</x:v>
      </x:c>
      <x:c r="H21" s="79" t="str">
        <x:v>일부 raw 패턴 확인; 5개 요건의 동시충족 미확정</x:v>
      </x:c>
      <x:c r="I21" s="79" t="str">
        <x:v>5개 operational criteria</x:v>
      </x:c>
      <x:c r="J21" s="79" t="str">
        <x:v>S20, S21, S23</x:v>
      </x:c>
      <x:c r="K21" s="79" t="str">
        <x:v>data/reproduction/claim_evidence/source_extracts/S20_raw_action_summary.csv; data/reproduction/claim_evidence/source_extracts/S21_raw_action_budget_tests.csv; data/reproduction/claim_evidence/source_extracts/S23_revision_dilution_summary.csv | claim filters: S23 five-criteria output pending</x:v>
      </x:c>
      <x:c r="L21" s="79" t="str">
        <x:v>일부 요건만 확인되면 ‘정합적인 패턴’이라고 쓴다.</x:v>
      </x:c>
      <x:c r="M21" s="79" t="str">
        <x:v>확인 전 초록·서론·장 결론에서 확정적 메커니즘명으로 사용하지 않는다.</x:v>
      </x:c>
      <x:c r="N21" s="79" t="str">
        <x:v>Evaluator-only 사후 귀속</x:v>
      </x:c>
      <x:c r="O21" s="79" t="str">
        <x:v>Revision-dilution post-hoc</x:v>
      </x:c>
      <x:c r="P21" s="79" t="str">
        <x:v>CONDITIONAL_NAMING</x:v>
      </x:c>
      <x:c r="Q21" s="79" t="str">
        <x:v>CONDITIONAL_ONLY</x:v>
      </x:c>
      <x:c r="R21" s="79" t="str"/>
      <x:c r="S21" s="79" t="str">
        <x:v>6.3.3</x:v>
      </x:c>
      <x:c r="T21" s="79" t="str">
        <x:v>TAB_REVISION_DILUTION</x:v>
      </x:c>
      <x:c r="U21" s="79" t="str">
        <x:v>E3 기준 5개 요건 집계</x:v>
      </x:c>
      <x:c r="V21" s="79" t="str">
        <x:v>APP-TAB-RD</x:v>
      </x:c>
    </x:row>
    <x:row r="22" ht="88" customHeight="1">
      <x:c r="A22" s="79" t="str">
        <x:v>C21</x:v>
      </x:c>
      <x:c r="B22" s="79" t="str">
        <x:v>P2 보조 강건성</x:v>
      </x:c>
      <x:c r="C22" s="79" t="str">
        <x:v>감사·강건성</x:v>
      </x:c>
      <x:c r="D22" s="79" t="str">
        <x:v>성분 상쇄</x:v>
      </x:c>
      <x:c r="E22" s="79" t="str">
        <x:v>총효과가 0에 가깝더라도 무행동을 의미하지 않으며, Gemini 0.75 참조증분은 여러 축의 양·음 기여가 상쇄된 결과와 정합적이다.</x:v>
      </x:c>
      <x:c r="F22" s="79" t="str">
        <x:v>C4R→C6 axis-level OAT·Shapley, 0.75 대 비예산</x:v>
      </x:c>
      <x:c r="G22" s="79" t="str">
        <x:v>Gemini 3.1 Flash-Lite; α; E3</x:v>
      </x:c>
      <x:c r="H22" s="79" t="str">
        <x:v>0.75 reference increment 약 −0.001 대 비예산 +0.402; 축별 양·음 기여 상쇄</x:v>
      </x:c>
      <x:c r="I22" s="79" t="str">
        <x:v>64-permutation Shapley efficiency</x:v>
      </x:c>
      <x:c r="J22" s="79" t="str">
        <x:v>S24</x:v>
      </x:c>
      <x:c r="K22" s="79" t="str">
        <x:v>data/reproduction/claim_evidence/source_extracts/S24_shapley_summary.csv | claim filters: backend=gemini31flashlite; transition=C4R_to_C6</x:v>
      </x:c>
      <x:c r="L22" s="79" t="str">
        <x:v>평균 0과 무행동을 구분하고 성분상쇄를 감사해야 한다고 쓴다.</x:v>
      </x:c>
      <x:c r="M22" s="79" t="str">
        <x:v>Shapley가 인과기제를 입증한다고 쓰지 않는다.</x:v>
      </x:c>
      <x:c r="N22" s="79" t="str">
        <x:v>Evaluator-only 사후 귀속</x:v>
      </x:c>
      <x:c r="O22" s="79" t="str">
        <x:v>R2 OAT·Shapley</x:v>
      </x:c>
      <x:c r="P22" s="79" t="str">
        <x:v>FROZEN</x:v>
      </x:c>
      <x:c r="Q22" s="79" t="str">
        <x:v>READY_WITH_BOUNDARY</x:v>
      </x:c>
      <x:c r="R22" s="79" t="str"/>
      <x:c r="S22" s="79" t="str">
        <x:v>6.7.2–6.7.3</x:v>
      </x:c>
      <x:c r="T22" s="79" t="str">
        <x:v>FIG_SHAPLEY_COMPONENTS</x:v>
      </x:c>
      <x:c r="U22" s="79" t="str">
        <x:v>‘설명적 귀속’ 표기</x:v>
      </x:c>
      <x:c r="V22" s="79" t="str">
        <x:v>FIG-06B</x:v>
      </x:c>
    </x:row>
    <x:row r="23" ht="88" customHeight="1">
      <x:c r="A23" s="79" t="str">
        <x:v>C22</x:v>
      </x:c>
      <x:c r="B23" s="79" t="str">
        <x:v>P2 보조 강건성</x:v>
      </x:c>
      <x:c r="C23" s="79" t="str">
        <x:v>감사·강건성</x:v>
      </x:c>
      <x:c r="D23" s="79" t="str">
        <x:v>실질적 동등성</x:v>
      </x:c>
      <x:c r="E23" s="79" t="str">
        <x:v>비유의성과 실질적 동등성은 다르며, TOST는 예산별 성분이 ±0.109 범위에서 동등한지를 별도로 판정한다.</x:v>
      </x:c>
      <x:c r="F23" s="79" t="str">
        <x:v>within-arm 및 finite−no-budget interaction TOST</x:v>
      </x:c>
      <x:c r="G23" s="79" t="str">
        <x:v>Oracle-α; E3 components</x:v>
      </x:c>
      <x:c r="H23" s="79" t="str">
        <x:v>GPT reference 1.27/2.00 interaction은 동등; Gemini self-review interactions는 동등, reference는 미확립</x:v>
      </x:c>
      <x:c r="I23" s="79" t="str">
        <x:v>TOST margin ±0.109; 90% CI decision</x:v>
      </x:c>
      <x:c r="J23" s="79" t="str">
        <x:v>S18</x:v>
      </x:c>
      <x:c r="K23" s="79" t="str">
        <x:v>data/reproduction/claim_evidence/source_extracts/S18_tost_manifest.json | claim filters: within-arm and interaction decision rows</x:v>
      </x:c>
      <x:c r="L23" s="79" t="str">
        <x:v>동등성 통과와 미확립을 성분별로 구분한다.</x:v>
      </x:c>
      <x:c r="M23" s="79" t="str">
        <x:v>p&gt;0.05를 동등성으로 보거나 TOST 실패가 차이를 증명한다고 쓰지 않는다.</x:v>
      </x:c>
      <x:c r="N23" s="79" t="str">
        <x:v>실행 전 동결 확장</x:v>
      </x:c>
      <x:c r="O23" s="79" t="str">
        <x:v>R3 Oracle-α TOST</x:v>
      </x:c>
      <x:c r="P23" s="79" t="str">
        <x:v>FROZEN</x:v>
      </x:c>
      <x:c r="Q23" s="79" t="str">
        <x:v>READY</x:v>
      </x:c>
      <x:c r="R23" s="79" t="str"/>
      <x:c r="S23" s="79" t="str">
        <x:v>6.6</x:v>
      </x:c>
      <x:c r="T23" s="79" t="str">
        <x:v>TAB_TOST_ROBUSTNESS</x:v>
      </x:c>
      <x:c r="U23" s="79" t="str">
        <x:v>증거 클래스와 세부 계보를 분리 유지</x:v>
      </x:c>
      <x:c r="V23" s="79" t="str">
        <x:v>TAB-08C</x:v>
      </x:c>
    </x:row>
    <x:row r="24" ht="88" customHeight="1">
      <x:c r="A24" s="79" t="str">
        <x:v>C23</x:v>
      </x:c>
      <x:c r="B24" s="79" t="str">
        <x:v>P1 필수 전제</x:v>
      </x:c>
      <x:c r="C24" s="79" t="str">
        <x:v>감사·강건성</x:v>
      </x:c>
      <x:c r="D24" s="79" t="str">
        <x:v>실행계보</x:v>
      </x:c>
      <x:c r="E24" s="79" t="str">
        <x:v>E2와 E3의 matching 0.75·비예산지시 GPT 팔은 E2 output 재사용이 아니라 별도 live batch에서 독립적으로 재생성되었다.</x:v>
      </x:c>
      <x:c r="F24" s="79" t="str">
        <x:v>E2 대 E3 raw-response 직접 비교 및 action-vector identity</x:v>
      </x:c>
      <x:c r="G24" s="79" t="str">
        <x:v>GPT-5.4-mini matching arms</x:v>
      </x:c>
      <x:c r="H24" s="79" t="str">
        <x:v>각 1,725행에서 동일 raw response 0건; action vector 우연 일치 소수</x:v>
      </x:c>
      <x:c r="I24" s="79" t="str">
        <x:v>raw response 직접 비교와 row alignment</x:v>
      </x:c>
      <x:c r="J24" s="79" t="str">
        <x:v>S19</x:v>
      </x:c>
      <x:c r="K24" s="79" t="str">
        <x:v>data/reproduction/claim_evidence/source_extracts/S19_e2_e3_lineage.csv | claim filters: budgets={0.75,no-explicit-budget}</x:v>
      </x:c>
      <x:c r="L24" s="79" t="str">
        <x:v>matching 팔의 독립 live repeat라고 쓴다.</x:v>
      </x:c>
      <x:c r="M24" s="79" t="str">
        <x:v>E3 전체 또는 1.27·2.00을 E2 반복이라고 쓰지 않는다.</x:v>
      </x:c>
      <x:c r="N24" s="79" t="str">
        <x:v>QC·프로토콜 감사</x:v>
      </x:c>
      <x:c r="O24" s="79" t="str">
        <x:v>Run-lineage audit</x:v>
      </x:c>
      <x:c r="P24" s="79" t="str">
        <x:v>FROZEN</x:v>
      </x:c>
      <x:c r="Q24" s="79" t="str">
        <x:v>READY</x:v>
      </x:c>
      <x:c r="R24" s="79" t="str"/>
      <x:c r="S24" s="79" t="str">
        <x:v>6.8</x:v>
      </x:c>
      <x:c r="T24" s="79" t="str">
        <x:v>TAB_RUN_LINEAGE</x:v>
      </x:c>
      <x:c r="U24" s="79" t="str">
        <x:v>감사 원장을 저장소로 이관</x:v>
      </x:c>
      <x:c r="V24" s="79" t="str">
        <x:v>TAB-09B</x:v>
      </x:c>
    </x:row>
    <x:row r="25" ht="88" customHeight="1">
      <x:c r="A25" s="79" t="str">
        <x:v>C24</x:v>
      </x:c>
      <x:c r="B25" s="79" t="str">
        <x:v>P1 필수 전제</x:v>
      </x:c>
      <x:c r="C25" s="79" t="str">
        <x:v>감사·강건성</x:v>
      </x:c>
      <x:c r="D25" s="79" t="str">
        <x:v>QC 적격성 관문</x:v>
      </x:c>
      <x:c r="E25" s="79" t="str">
        <x:v>계약 준수는 점수 비교 이전의 적격성 관문이며, 사전 QC를 통과하지 못한 구성은 확증 순위에서 제외해야 한다.</x:v>
      </x:c>
      <x:c r="F25" s="79" t="str">
        <x:v>파싱·스키마·예산·축별 준수와 Haiku gate</x:v>
      </x:c>
      <x:c r="G25" s="79" t="str">
        <x:v>Haiku characterization; GPT/Gemini confirmatory cohorts</x:v>
      </x:c>
      <x:c r="H25" s="79" t="str">
        <x:v>Haiku는 사전 QC gate 미통과; E4는 프로토콜 특성화로만 사용</x:v>
      </x:c>
      <x:c r="I25" s="79" t="str">
        <x:v>pre-specified QC decision</x:v>
      </x:c>
      <x:c r="J25" s="79" t="str">
        <x:v>S26, S27</x:v>
      </x:c>
      <x:c r="K25" s="79" t="str">
        <x:v>data/reproduction/claim_evidence/source_extracts/S26_e4_qc_manifest.json; data/reproduction/claim_evidence/source_extracts/S27_budget_contract_diff.csv | claim filters: S26 QC manifests; S27 contract equality</x:v>
      </x:c>
      <x:c r="L25" s="79" t="str">
        <x:v>현재 생성계약에서 비교 적격성을 통과한 구성만 확증 순위에 포함한다.</x:v>
      </x:c>
      <x:c r="M25" s="79" t="str">
        <x:v>계약준수만으로 현실 안전성이나 규제준수가 보장된다고 쓰지 않는다.</x:v>
      </x:c>
      <x:c r="N25" s="79" t="str">
        <x:v>QC·프로토콜 감사</x:v>
      </x:c>
      <x:c r="O25" s="79" t="str">
        <x:v>E4</x:v>
      </x:c>
      <x:c r="P25" s="79" t="str">
        <x:v>FROZEN</x:v>
      </x:c>
      <x:c r="Q25" s="79" t="str">
        <x:v>READY_WITH_BOUNDARY</x:v>
      </x:c>
      <x:c r="R25" s="79" t="str">
        <x:v>D07</x:v>
      </x:c>
      <x:c r="S25" s="79" t="str">
        <x:v>6.5</x:v>
      </x:c>
      <x:c r="T25" s="79" t="str">
        <x:v>TAB_QC_ELIGIBILITY</x:v>
      </x:c>
      <x:c r="U25" s="79" t="str">
        <x:v>P50 provenance는 C05 선행조건으로 별도 관리</x:v>
      </x:c>
      <x:c r="V25" s="79" t="str">
        <x:v>TAB-09A</x:v>
      </x:c>
    </x:row>
    <x:row r="26" ht="88" customHeight="1">
      <x:c r="A26" s="79" t="str">
        <x:v>C25</x:v>
      </x:c>
      <x:c r="B26" s="79" t="str">
        <x:v>P2 보조 강건성</x:v>
      </x:c>
      <x:c r="C26" s="79" t="str">
        <x:v>예산계약 조건부 수정</x:v>
      </x:c>
      <x:c r="D26" s="79" t="str">
        <x:v>사후 이질성·관계적 참조가치</x:v>
      </x:c>
      <x:c r="E26" s="79" t="str">
        <x:v>참조의 추가가치는 Candidate-IQL의 평균품질만으로 결정되지 않고, 현재 초안 대비 국소 참조우위, 보완·대체 방식과 허용된 수정공간에 따라 이질적으로 나타날 수 있다.</x:v>
      </x:c>
      <x:c r="F26" s="79" t="str">
        <x:v>local reference advantage, complement/substitute, adoption, removal/addition</x:v>
      </x:c>
      <x:c r="G26" s="79" t="str">
        <x:v>E3 C4/C4R/C6 firm-level frame; GPT/Gemini</x:v>
      </x:c>
      <x:c r="H26" s="79" t="str">
        <x:v>E1/N5M에서 최초 관측했으나 headline 근거는 E3 재산출 필요</x:v>
      </x:c>
      <x:c r="I26" s="79" t="str">
        <x:v>post-hoc; shared term and mean-reversion warnings</x:v>
      </x:c>
      <x:c r="J26" s="79" t="str">
        <x:v>S28, S31</x:v>
      </x:c>
      <x:c r="K26" s="79" t="str">
        <x:v>data/reproduction/claim_evidence/source_extracts/S28_relational_reference_manifest.json; data/reproduction/claim_evidence/source_extracts/S31_e1_n5m_historical_manifest.json | claim filters: S28 primary E3 output pending; S31 historical only</x:v>
      </x:c>
      <x:c r="L26" s="79" t="str">
        <x:v>관계적 참조가치를 현재 초안과 수정계약의 관계에 대한 사후 해석으로 제시한다.</x:v>
      </x:c>
      <x:c r="M26" s="79" t="str">
        <x:v>기업별 자동 채택규칙 또는 공유항 통제 전 인과 예측변수로 사용하지 않는다.</x:v>
      </x:c>
      <x:c r="N26" s="79" t="str">
        <x:v>Evaluator-only 사후 귀속</x:v>
      </x:c>
      <x:c r="O26" s="79" t="str">
        <x:v>E3 relational-reference post-hoc</x:v>
      </x:c>
      <x:c r="P26" s="79" t="str">
        <x:v>RECOMPUTE_REQUIRED</x:v>
      </x:c>
      <x:c r="Q26" s="79" t="str">
        <x:v>NOT_READY_RECOMPUTE</x:v>
      </x:c>
      <x:c r="R26" s="79" t="str">
        <x:v>D01</x:v>
      </x:c>
      <x:c r="S26" s="79" t="str">
        <x:v>6.4.2</x:v>
      </x:c>
      <x:c r="T26" s="79" t="str">
        <x:v>TAB_RELATIONAL_REFERENCE_VALUE</x:v>
      </x:c>
      <x:c r="U26" s="79" t="str">
        <x:v>E3 기준 재산출; E1 수치는 historical label 유지</x:v>
      </x:c>
      <x:c r="V26" s="79" t="str">
        <x:v>APP-TAB-RRV</x:v>
      </x:c>
    </x:row>
    <x:row r="27" ht="88" customHeight="1">
      <x:c r="A27" s="79" t="str">
        <x:v>C26</x:v>
      </x:c>
      <x:c r="B27" s="79" t="str">
        <x:v>P1 필수 전제</x:v>
      </x:c>
      <x:c r="C27" s="79" t="str">
        <x:v>행동 인터페이스·생성 제어면</x:v>
      </x:c>
      <x:c r="D27" s="79" t="str">
        <x:v>H2 형식·검토가능성</x:v>
      </x:c>
      <x:c r="E27" s="79" t="str">
        <x:v>사전명세 H2는 GPT-5.4-mini, GPT-4.1-mini, Haiku 4.5의 기존 자유작성 계약에서 추론 유도가 행동규모, 활성축, 표준 후보와의 거리 및 출력 형식·검토가능성 지표를 어떻게 변화시켰는지를 판정한다.</x:v>
      </x:c>
      <x:c r="F27" s="79" t="str">
        <x:v>세 백엔드 C5−C4/C7−C6의 projection distance, L1, active dimensions, format failures, reviewability</x:v>
      </x:c>
      <x:c r="G27" s="79" t="str">
        <x:v>H2 기존 3백엔드 자유작성 코호트: GPT-5.4-mini, GPT-4.1-mini, Haiku 4.5 · IC-b · candidate/free-form contracts. E4 matched-budget QC와 별도</x:v>
      </x:c>
      <x:c r="H27" s="79" t="str">
        <x:v>구 표 18은 3백엔드 H2 형식효과를 보고했다. backend별 원수치·방향·H4-b 검토가능성 proxy를 S29 claim-ready summary로 재산출해야 한다.</x:v>
      </x:c>
      <x:c r="I27" s="79" t="str">
        <x:v>backend별 H2 decision rule + H4-b reviewability proxies. 미완료는 범위가 아니라 canonical extract 상태다.</x:v>
      </x:c>
      <x:c r="J27" s="79" t="str">
        <x:v>S29</x:v>
      </x:c>
      <x:c r="K27" s="79" t="str">
        <x:v>data/reproduction/claim_evidence/source_extracts/S29_h2_format_reviewability.csv | backend∈{gpt54mini,gpt41mini,haiku45} | information_condition=IC-b | columns=backend,contrast,projection_distance,l1,active_dims,format_failures,reviewability_proxy,decision</x:v>
      </x:c>
      <x:c r="L27" s="79" t="str">
        <x:v>추론 유도가 출력형식과 행동구조를 변화시켰다고 쓴다.</x:v>
      </x:c>
      <x:c r="M27" s="79" t="str">
        <x:v>내부 추론품질이 향상·악화됐다고 쓰지 않는다.</x:v>
      </x:c>
      <x:c r="N27" s="79" t="str">
        <x:v>사전 명세</x:v>
      </x:c>
      <x:c r="O27" s="79" t="str">
        <x:v>H2 / H4-b</x:v>
      </x:c>
      <x:c r="P27" s="79" t="str">
        <x:v>RECOMPUTE_REQUIRED</x:v>
      </x:c>
      <x:c r="Q27" s="79" t="str">
        <x:v>NOT_READY_RECOMPUTE</x:v>
      </x:c>
      <x:c r="R27" s="79" t="str">
        <x:v>D10</x:v>
      </x:c>
      <x:c r="S27" s="79" t="str">
        <x:v>5.4</x:v>
      </x:c>
      <x:c r="T27" s="79" t="str">
        <x:v>TAB_REASONING_FORMAT_EFFECT</x:v>
      </x:c>
      <x:c r="U27" s="79" t="str">
        <x:v>3백엔드 H2 summary producer·verifier 신설; backend별 판정 보존</x:v>
      </x:c>
      <x:c r="V27" s="79" t="str">
        <x:v>TAB-06D</x:v>
      </x:c>
    </x:row>
    <x:row r="28" ht="88" customHeight="1">
      <x:c r="A28" s="79" t="str">
        <x:v>C27</x:v>
      </x:c>
      <x:c r="B28" s="79" t="str">
        <x:v>P2 보조 강건성</x:v>
      </x:c>
      <x:c r="C28" s="79" t="str">
        <x:v>감사·강건성</x:v>
      </x:c>
      <x:c r="D28" s="79" t="str">
        <x:v>동적 평가해상도</x:v>
      </x:c>
      <x:c r="E28" s="79" t="str">
        <x:v>실제 C4–C4R–C6 정책효과에서 정확한 0, 경계통과 집중과 paired-gap 분포는 Oracle·예산·백엔드에 따라 달라질 수 있다.</x:v>
      </x:c>
      <x:c r="F28" s="79" t="str">
        <x:v>E3 firm frame의 zero/tie/positive/negative, grade-boundary crossing, dispersion</x:v>
      </x:c>
      <x:c r="G28" s="79" t="str">
        <x:v>E3 GPT/Gemini; α/β/γ; all budgets</x:v>
      </x:c>
      <x:c r="H28" s="79" t="str">
        <x:v>N5M 수치는 historical이며 E3 기준 재산출 필요</x:v>
      </x:c>
      <x:c r="I28" s="79" t="str">
        <x:v>exact zero와 grade boundary crossing 분리</x:v>
      </x:c>
      <x:c r="J28" s="79" t="str">
        <x:v>S30, S31</x:v>
      </x:c>
      <x:c r="K28" s="79" t="str">
        <x:v>data/reproduction/claim_evidence/source_extracts/S30_dynamic_resolution_manifest.json; data/reproduction/claim_evidence/source_extracts/S31_e1_n5m_historical_manifest.json | claim filters: S30 primary pending; S31 historical only</x:v>
      </x:c>
      <x:c r="L28" s="79" t="str">
        <x:v>평가함수의 동적 관측해상도를 E3 코호트 기준으로 보고한다.</x:v>
      </x:c>
      <x:c r="M28" s="79" t="str">
        <x:v>N5M 0 비율을 E3 수치처럼 재사용하거나 효과 자체의 인과결정으로 해석하지 않는다.</x:v>
      </x:c>
      <x:c r="N28" s="79" t="str">
        <x:v>실행 전 동결 확장</x:v>
      </x:c>
      <x:c r="O28" s="79" t="str">
        <x:v>E3 dynamic-resolution extension</x:v>
      </x:c>
      <x:c r="P28" s="79" t="str">
        <x:v>RECOMPUTE_REQUIRED</x:v>
      </x:c>
      <x:c r="Q28" s="79" t="str">
        <x:v>NOT_READY_RECOMPUTE</x:v>
      </x:c>
      <x:c r="R28" s="79" t="str">
        <x:v>D01</x:v>
      </x:c>
      <x:c r="S28" s="79" t="str">
        <x:v>6.7.1</x:v>
      </x:c>
      <x:c r="T28" s="79" t="str">
        <x:v>FIG_EVALUATOR_RESOLUTION_DYNAMIC</x:v>
      </x:c>
      <x:c r="U28" s="79" t="str">
        <x:v>E3 dynamic-resolution producer·verifier 신설</x:v>
      </x:c>
      <x:c r="V28" s="79" t="str">
        <x:v>FIG-06A</x:v>
      </x:c>
    </x:row>
    <x:row r="29" ht="88" customHeight="1">
      <x:c r="A29" s="79" t="str">
        <x:v>C28</x:v>
      </x:c>
      <x:c r="B29" s="79" t="str">
        <x:v>P0 대표 결론</x:v>
      </x:c>
      <x:c r="C29" s="79" t="str">
        <x:v>배포 정책 시스템</x:v>
      </x:c>
      <x:c r="D29" s="79" t="str">
        <x:v>통합 운영결론</x:v>
      </x:c>
      <x:c r="E29" s="79" t="str">
        <x:v>금융기관이 검증하고 승인해야 할 대상은 모델명이 아니라 평가자, 생성계약, 후보 라이브러리, 수정·참조 절차와 후처리가 결합된 배포 정책 시스템이다.</x:v>
      </x:c>
      <x:c r="F29" s="79" t="str">
        <x:v>전체 증거사슬의 통합</x:v>
      </x:c>
      <x:c r="G29" s="79" t="str">
        <x:v>본 연구가 평가한 표본·모델·계약 범위</x:v>
      </x:c>
      <x:c r="H29" s="79" t="str">
        <x:v>Oracle gate, 독립 참조, 출력계약 귀속, 예산·수정 분해, QC와 재현성</x:v>
      </x:c>
      <x:c r="I29" s="79" t="str">
        <x:v>규범적·운영적 귀결; 외부 규제승인 아님</x:v>
      </x:c>
      <x:c r="J29" s="79" t="str">
        <x:v>S01, S08, S14, S16, S24, S26</x:v>
      </x:c>
      <x:c r="K29" s="79" t="str">
        <x:v>data/reproduction/claim_evidence/source_extracts/S01_design_contract.json; data/reproduction/claim_evidence/source_extracts/S08_candidate_scale_audit.csv; data/reproduction/claim_evidence/source_extracts/S14_h3_reference_source.csv; data/reproduction/claim_evidence/source_extracts/S16_e3_interactions.csv; data/reproduction/claim_evidence/source_extracts/S24_shapley_summary.csv; data/reproduction/claim_evidence/source_extracts/S26_e4_qc_manifest.json | cross-claim synthesis</x:v>
      </x:c>
      <x:c r="L29" s="79" t="str">
        <x:v>모델 단독이 아니라 deployment configuration 전체를 평가·감사·승인해야 한다고 제안한다.</x:v>
      </x:c>
      <x:c r="M29" s="79" t="str">
        <x:v>특정 모델의 규제승인이나 현실 안전성이 입증됐다고 쓰지 않는다.</x:v>
      </x:c>
      <x:c r="N29" s="79" t="str">
        <x:v>통합 운영결론</x:v>
      </x:c>
      <x:c r="O29" s="79" t="str">
        <x:v>Integrated conclusion</x:v>
      </x:c>
      <x:c r="P29" s="79" t="str">
        <x:v>FROZEN</x:v>
      </x:c>
      <x:c r="Q29" s="79" t="str">
        <x:v>READY_WITH_BOUNDARY</x:v>
      </x:c>
      <x:c r="R29" s="79" t="str">
        <x:v>D03, D04, D12</x:v>
      </x:c>
      <x:c r="S29" s="79" t="str">
        <x:v>7.4–7.6, 7.8</x:v>
      </x:c>
      <x:c r="T29" s="79" t="str">
        <x:v>FIG_DEPLOYMENT_POLICY_SYSTEM</x:v>
      </x:c>
      <x:c r="U29" s="79" t="str">
        <x:v>S32 final reproduction manifest는 실증 근거가 아니라 reviewer package의 runtime reproducibility status link로 별도 연결</x:v>
      </x:c>
      <x:c r="V29" s="79" t="str">
        <x:v>FIG-07</x:v>
      </x:c>
    </x:row>
    <x:row r="30">
      <x:c r="A30" s="74"/>
      <x:c r="B30" s="74"/>
      <x:c r="C30" s="74"/>
      <x:c r="D30" s="74"/>
      <x:c r="E30" s="74"/>
      <x:c r="F30" s="74"/>
      <x:c r="G30" s="74"/>
      <x:c r="H30" s="74"/>
      <x:c r="I30" s="74"/>
      <x:c r="J30" s="74"/>
      <x:c r="K30" s="74"/>
      <x:c r="L30" s="74"/>
      <x:c r="M30" s="74"/>
      <x:c r="N30" s="74"/>
      <x:c r="O30" s="74"/>
      <x:c r="P30" s="74"/>
      <x:c r="Q30" s="74"/>
      <x:c r="R30" s="74"/>
      <x:c r="S30" s="74"/>
      <x:c r="T30" s="74"/>
      <x:c r="U30" s="74"/>
      <x:c r="V30" s="74"/>
    </x:row>
    <x:row r="31">
      <x:c r="A31" s="74"/>
      <x:c r="B31" s="74"/>
      <x:c r="C31" s="74"/>
      <x:c r="D31" s="74"/>
      <x:c r="E31" s="74"/>
      <x:c r="F31" s="74"/>
      <x:c r="G31" s="74"/>
      <x:c r="H31" s="74"/>
      <x:c r="I31" s="74"/>
      <x:c r="J31" s="74"/>
      <x:c r="K31" s="74"/>
      <x:c r="L31" s="74"/>
      <x:c r="M31" s="74"/>
      <x:c r="N31" s="74"/>
      <x:c r="O31" s="74"/>
      <x:c r="P31" s="74"/>
      <x:c r="Q31" s="74"/>
      <x:c r="R31" s="74"/>
      <x:c r="S31" s="74"/>
      <x:c r="T31" s="74"/>
      <x:c r="U31" s="74"/>
      <x:c r="V31" s="74"/>
    </x:row>
    <x:row r="32">
      <x:c r="A32" s="74"/>
      <x:c r="B32" s="74"/>
      <x:c r="C32" s="74"/>
      <x:c r="D32" s="74"/>
      <x:c r="E32" s="74"/>
      <x:c r="F32" s="74"/>
      <x:c r="G32" s="74"/>
      <x:c r="H32" s="74"/>
      <x:c r="I32" s="74"/>
      <x:c r="J32" s="74"/>
      <x:c r="K32" s="74"/>
      <x:c r="L32" s="74"/>
      <x:c r="M32" s="74"/>
      <x:c r="N32" s="74"/>
      <x:c r="O32" s="74"/>
      <x:c r="P32" s="74"/>
      <x:c r="Q32" s="74"/>
      <x:c r="R32" s="74"/>
      <x:c r="S32" s="74"/>
      <x:c r="T32" s="74"/>
      <x:c r="U32" s="74"/>
      <x:c r="V32" s="74"/>
    </x:row>
    <x:row r="33">
      <x:c r="A33" s="74"/>
      <x:c r="B33" s="74"/>
      <x:c r="C33" s="74"/>
      <x:c r="D33" s="74"/>
      <x:c r="E33" s="74"/>
      <x:c r="F33" s="74"/>
      <x:c r="G33" s="74"/>
      <x:c r="H33" s="74"/>
      <x:c r="I33" s="74"/>
      <x:c r="J33" s="74"/>
      <x:c r="K33" s="74"/>
      <x:c r="L33" s="74"/>
      <x:c r="M33" s="74"/>
      <x:c r="N33" s="74"/>
      <x:c r="O33" s="74"/>
      <x:c r="P33" s="74"/>
      <x:c r="Q33" s="74"/>
      <x:c r="R33" s="74"/>
      <x:c r="S33" s="74"/>
      <x:c r="T33" s="74"/>
      <x:c r="U33" s="74"/>
      <x:c r="V33" s="74"/>
    </x:row>
    <x:row r="34">
      <x:c r="A34" s="74"/>
      <x:c r="B34" s="74"/>
      <x:c r="C34" s="74"/>
      <x:c r="D34" s="74"/>
      <x:c r="E34" s="74"/>
      <x:c r="F34" s="74"/>
      <x:c r="G34" s="74"/>
      <x:c r="H34" s="74"/>
      <x:c r="I34" s="74"/>
      <x:c r="J34" s="74"/>
      <x:c r="K34" s="74"/>
      <x:c r="L34" s="74"/>
      <x:c r="M34" s="74"/>
      <x:c r="N34" s="74"/>
      <x:c r="O34" s="74"/>
      <x:c r="P34" s="74"/>
      <x:c r="Q34" s="74"/>
      <x:c r="R34" s="74"/>
      <x:c r="S34" s="74"/>
      <x:c r="T34" s="74"/>
      <x:c r="U34" s="74"/>
      <x:c r="V34" s="74"/>
    </x:row>
    <x:row r="35">
      <x:c r="A35" s="74"/>
      <x:c r="B35" s="74"/>
      <x:c r="C35" s="74"/>
      <x:c r="D35" s="74"/>
      <x:c r="E35" s="74"/>
      <x:c r="F35" s="74"/>
      <x:c r="G35" s="74"/>
      <x:c r="H35" s="74"/>
      <x:c r="I35" s="74"/>
      <x:c r="J35" s="74"/>
      <x:c r="K35" s="74"/>
      <x:c r="L35" s="74"/>
      <x:c r="M35" s="74"/>
      <x:c r="N35" s="74"/>
      <x:c r="O35" s="74"/>
      <x:c r="P35" s="74"/>
      <x:c r="Q35" s="74"/>
      <x:c r="R35" s="74"/>
      <x:c r="S35" s="74"/>
      <x:c r="T35" s="74"/>
      <x:c r="U35" s="74"/>
      <x:c r="V35" s="74"/>
    </x:row>
    <x:row r="36">
      <x:c r="A36" s="74"/>
      <x:c r="B36" s="74"/>
      <x:c r="C36" s="74"/>
      <x:c r="D36" s="74"/>
      <x:c r="E36" s="74"/>
      <x:c r="F36" s="74"/>
      <x:c r="G36" s="74"/>
      <x:c r="H36" s="74"/>
      <x:c r="I36" s="74"/>
      <x:c r="J36" s="74"/>
      <x:c r="K36" s="74"/>
      <x:c r="L36" s="74"/>
      <x:c r="M36" s="74"/>
      <x:c r="N36" s="74"/>
      <x:c r="O36" s="74"/>
      <x:c r="P36" s="74"/>
      <x:c r="Q36" s="74"/>
      <x:c r="R36" s="74"/>
      <x:c r="S36" s="74"/>
      <x:c r="T36" s="74"/>
      <x:c r="U36" s="74"/>
      <x:c r="V36" s="74"/>
    </x:row>
    <x:row r="37">
      <x:c r="A37" s="74"/>
      <x:c r="B37" s="74"/>
      <x:c r="C37" s="74"/>
      <x:c r="D37" s="74"/>
      <x:c r="E37" s="74"/>
      <x:c r="F37" s="74"/>
      <x:c r="G37" s="74"/>
      <x:c r="H37" s="74"/>
      <x:c r="I37" s="74"/>
      <x:c r="J37" s="74"/>
      <x:c r="K37" s="74"/>
      <x:c r="L37" s="74"/>
      <x:c r="M37" s="74"/>
      <x:c r="N37" s="74"/>
      <x:c r="O37" s="74"/>
      <x:c r="P37" s="74"/>
      <x:c r="Q37" s="74"/>
      <x:c r="R37" s="74"/>
      <x:c r="S37" s="74"/>
      <x:c r="T37" s="74"/>
      <x:c r="U37" s="74"/>
      <x:c r="V37" s="74"/>
    </x:row>
    <x:row r="38">
      <x:c r="A38" s="74"/>
      <x:c r="B38" s="74"/>
      <x:c r="C38" s="74"/>
      <x:c r="D38" s="74"/>
      <x:c r="E38" s="74"/>
      <x:c r="F38" s="74"/>
      <x:c r="G38" s="74"/>
      <x:c r="H38" s="74"/>
      <x:c r="I38" s="74"/>
      <x:c r="J38" s="74"/>
      <x:c r="K38" s="74"/>
      <x:c r="L38" s="74"/>
      <x:c r="M38" s="74"/>
      <x:c r="N38" s="74"/>
      <x:c r="O38" s="74"/>
      <x:c r="P38" s="74"/>
      <x:c r="Q38" s="74"/>
      <x:c r="R38" s="74"/>
      <x:c r="S38" s="74"/>
      <x:c r="T38" s="74"/>
      <x:c r="U38" s="74"/>
      <x:c r="V38" s="74"/>
    </x:row>
    <x:row r="39">
      <x:c r="A39" s="74"/>
      <x:c r="B39" s="74"/>
      <x:c r="C39" s="74"/>
      <x:c r="D39" s="74"/>
      <x:c r="E39" s="74"/>
      <x:c r="F39" s="74"/>
      <x:c r="G39" s="74"/>
      <x:c r="H39" s="74"/>
      <x:c r="I39" s="74"/>
      <x:c r="J39" s="74"/>
      <x:c r="K39" s="74"/>
      <x:c r="L39" s="74"/>
      <x:c r="M39" s="74"/>
      <x:c r="N39" s="74"/>
      <x:c r="O39" s="74"/>
      <x:c r="P39" s="74"/>
      <x:c r="Q39" s="74"/>
      <x:c r="R39" s="74"/>
      <x:c r="S39" s="74"/>
      <x:c r="T39" s="74"/>
      <x:c r="U39" s="74"/>
      <x:c r="V39" s="74"/>
    </x:row>
    <x:row r="40">
      <x:c r="A40" s="74"/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4"/>
      <x:c r="T40" s="74"/>
      <x:c r="U40" s="74"/>
      <x:c r="V40" s="74"/>
    </x:row>
    <x:row r="41">
      <x:c r="A41" s="74"/>
      <x:c r="B41" s="74"/>
      <x:c r="C41" s="74"/>
      <x:c r="D41" s="74"/>
      <x:c r="E41" s="74"/>
      <x:c r="F41" s="74"/>
      <x:c r="G41" s="74"/>
      <x:c r="H41" s="74"/>
      <x:c r="I41" s="74"/>
      <x:c r="J41" s="74"/>
      <x:c r="K41" s="74"/>
      <x:c r="L41" s="74"/>
      <x:c r="M41" s="74"/>
      <x:c r="N41" s="74"/>
      <x:c r="O41" s="74"/>
      <x:c r="P41" s="74"/>
      <x:c r="Q41" s="74"/>
      <x:c r="R41" s="74"/>
      <x:c r="S41" s="74"/>
      <x:c r="T41" s="74"/>
      <x:c r="U41" s="74"/>
      <x:c r="V41" s="74"/>
    </x:row>
    <x:row r="42">
      <x:c r="A42" s="74"/>
      <x:c r="B42" s="74"/>
      <x:c r="C42" s="74"/>
      <x:c r="D42" s="74"/>
      <x:c r="E42" s="74"/>
      <x:c r="F42" s="74"/>
      <x:c r="G42" s="74"/>
      <x:c r="H42" s="74"/>
      <x:c r="I42" s="74"/>
      <x:c r="J42" s="74"/>
      <x:c r="K42" s="74"/>
      <x:c r="L42" s="74"/>
      <x:c r="M42" s="74"/>
      <x:c r="N42" s="74"/>
      <x:c r="O42" s="74"/>
      <x:c r="P42" s="74"/>
      <x:c r="Q42" s="74"/>
      <x:c r="R42" s="74"/>
      <x:c r="S42" s="74"/>
      <x:c r="T42" s="74"/>
      <x:c r="U42" s="74"/>
      <x:c r="V42" s="74"/>
    </x:row>
    <x:row r="43">
      <x:c r="A43" s="74"/>
      <x:c r="B43" s="74"/>
      <x:c r="C43" s="74"/>
      <x:c r="D43" s="74"/>
      <x:c r="E43" s="74"/>
      <x:c r="F43" s="74"/>
      <x:c r="G43" s="74"/>
      <x:c r="H43" s="74"/>
      <x:c r="I43" s="74"/>
      <x:c r="J43" s="74"/>
      <x:c r="K43" s="74"/>
      <x:c r="L43" s="74"/>
      <x:c r="M43" s="74"/>
      <x:c r="N43" s="74"/>
      <x:c r="O43" s="74"/>
      <x:c r="P43" s="74"/>
      <x:c r="Q43" s="74"/>
      <x:c r="R43" s="74"/>
      <x:c r="S43" s="74"/>
      <x:c r="T43" s="74"/>
      <x:c r="U43" s="74"/>
      <x:c r="V43" s="74"/>
    </x:row>
    <x:row r="44">
      <x:c r="A44" s="74"/>
      <x:c r="B44" s="74"/>
      <x:c r="C44" s="74"/>
      <x:c r="D44" s="74"/>
      <x:c r="E44" s="74"/>
      <x:c r="F44" s="74"/>
      <x:c r="G44" s="74"/>
      <x:c r="H44" s="74"/>
      <x:c r="I44" s="74"/>
      <x:c r="J44" s="74"/>
      <x:c r="K44" s="74"/>
      <x:c r="L44" s="74"/>
      <x:c r="M44" s="74"/>
      <x:c r="N44" s="74"/>
      <x:c r="O44" s="74"/>
      <x:c r="P44" s="74"/>
      <x:c r="Q44" s="74"/>
      <x:c r="R44" s="74"/>
      <x:c r="S44" s="74"/>
      <x:c r="T44" s="74"/>
      <x:c r="U44" s="74"/>
      <x:c r="V44" s="74"/>
    </x:row>
    <x:row r="45">
      <x:c r="A45" s="74"/>
      <x:c r="B45" s="74"/>
      <x:c r="C45" s="74"/>
      <x:c r="D45" s="74"/>
      <x:c r="E45" s="74"/>
      <x:c r="F45" s="74"/>
      <x:c r="G45" s="74"/>
      <x:c r="H45" s="74"/>
      <x:c r="I45" s="74"/>
      <x:c r="J45" s="74"/>
      <x:c r="K45" s="74"/>
      <x:c r="L45" s="74"/>
      <x:c r="M45" s="74"/>
      <x:c r="N45" s="74"/>
      <x:c r="O45" s="74"/>
      <x:c r="P45" s="74"/>
      <x:c r="Q45" s="74"/>
      <x:c r="R45" s="74"/>
      <x:c r="S45" s="74"/>
      <x:c r="T45" s="74"/>
      <x:c r="U45" s="74"/>
      <x:c r="V45" s="74"/>
    </x:row>
    <x:row r="46">
      <x:c r="A46" s="74"/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4"/>
      <x:c r="M46" s="74"/>
      <x:c r="N46" s="74"/>
      <x:c r="O46" s="74"/>
      <x:c r="P46" s="74"/>
      <x:c r="Q46" s="74"/>
      <x:c r="R46" s="74"/>
      <x:c r="S46" s="74"/>
      <x:c r="T46" s="74"/>
      <x:c r="U46" s="74"/>
      <x:c r="V46" s="74"/>
    </x:row>
    <x:row r="47">
      <x:c r="A47" s="74"/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4"/>
      <x:c r="M47" s="74"/>
      <x:c r="N47" s="74"/>
      <x:c r="O47" s="74"/>
      <x:c r="P47" s="74"/>
      <x:c r="Q47" s="74"/>
      <x:c r="R47" s="74"/>
      <x:c r="S47" s="74"/>
      <x:c r="T47" s="74"/>
      <x:c r="U47" s="74"/>
      <x:c r="V47" s="74"/>
    </x:row>
    <x:row r="48">
      <x:c r="A48" s="74"/>
      <x:c r="B48" s="74"/>
      <x:c r="C48" s="74"/>
      <x:c r="D48" s="74"/>
      <x:c r="E48" s="74"/>
      <x:c r="F48" s="74"/>
      <x:c r="G48" s="74"/>
      <x:c r="H48" s="74"/>
      <x:c r="I48" s="74"/>
      <x:c r="J48" s="74"/>
      <x:c r="K48" s="74"/>
      <x:c r="L48" s="74"/>
      <x:c r="M48" s="74"/>
      <x:c r="N48" s="74"/>
      <x:c r="O48" s="74"/>
      <x:c r="P48" s="74"/>
      <x:c r="Q48" s="74"/>
      <x:c r="R48" s="74"/>
      <x:c r="S48" s="74"/>
      <x:c r="T48" s="74"/>
      <x:c r="U48" s="74"/>
      <x:c r="V48" s="74"/>
    </x:row>
    <x:row r="49">
      <x:c r="A49" s="74"/>
      <x:c r="B49" s="74"/>
      <x:c r="C49" s="74"/>
      <x:c r="D49" s="74"/>
      <x:c r="E49" s="74"/>
      <x:c r="F49" s="74"/>
      <x:c r="G49" s="74"/>
      <x:c r="H49" s="74"/>
      <x:c r="I49" s="74"/>
      <x:c r="J49" s="74"/>
      <x:c r="K49" s="74"/>
      <x:c r="L49" s="74"/>
      <x:c r="M49" s="74"/>
      <x:c r="N49" s="74"/>
      <x:c r="O49" s="74"/>
      <x:c r="P49" s="74"/>
      <x:c r="Q49" s="74"/>
      <x:c r="R49" s="74"/>
      <x:c r="S49" s="74"/>
      <x:c r="T49" s="74"/>
      <x:c r="U49" s="74"/>
      <x:c r="V49" s="74"/>
    </x:row>
    <x:row r="50">
      <x:c r="A50" s="74"/>
      <x:c r="B50" s="74"/>
      <x:c r="C50" s="74"/>
      <x:c r="D50" s="74"/>
      <x:c r="E50" s="74"/>
      <x:c r="F50" s="74"/>
      <x:c r="G50" s="74"/>
      <x:c r="H50" s="74"/>
      <x:c r="I50" s="74"/>
      <x:c r="J50" s="74"/>
      <x:c r="K50" s="74"/>
      <x:c r="L50" s="74"/>
      <x:c r="M50" s="74"/>
      <x:c r="N50" s="74"/>
      <x:c r="O50" s="74"/>
      <x:c r="P50" s="74"/>
      <x:c r="Q50" s="74"/>
      <x:c r="R50" s="74"/>
      <x:c r="S50" s="74"/>
      <x:c r="T50" s="74"/>
      <x:c r="U50" s="74"/>
      <x:c r="V50" s="74"/>
    </x:row>
    <x:row r="51">
      <x:c r="A51" s="74"/>
      <x:c r="B51" s="74"/>
      <x:c r="C51" s="74"/>
      <x:c r="D51" s="74"/>
      <x:c r="E51" s="74"/>
      <x:c r="F51" s="74"/>
      <x:c r="G51" s="74"/>
      <x:c r="H51" s="74"/>
      <x:c r="I51" s="74"/>
      <x:c r="J51" s="74"/>
      <x:c r="K51" s="74"/>
      <x:c r="L51" s="74"/>
      <x:c r="M51" s="74"/>
      <x:c r="N51" s="74"/>
      <x:c r="O51" s="74"/>
      <x:c r="P51" s="74"/>
      <x:c r="Q51" s="74"/>
      <x:c r="R51" s="74"/>
      <x:c r="S51" s="74"/>
      <x:c r="T51" s="74"/>
      <x:c r="U51" s="74"/>
      <x:c r="V51" s="74"/>
    </x:row>
    <x:row r="52">
      <x:c r="A52" s="74"/>
      <x:c r="B52" s="74"/>
      <x:c r="C52" s="74"/>
      <x:c r="D52" s="74"/>
      <x:c r="E52" s="74"/>
      <x:c r="F52" s="74"/>
      <x:c r="G52" s="74"/>
      <x:c r="H52" s="74"/>
      <x:c r="I52" s="74"/>
      <x:c r="J52" s="74"/>
      <x:c r="K52" s="74"/>
      <x:c r="L52" s="74"/>
      <x:c r="M52" s="74"/>
      <x:c r="N52" s="74"/>
      <x:c r="O52" s="74"/>
      <x:c r="P52" s="74"/>
      <x:c r="Q52" s="74"/>
      <x:c r="R52" s="74"/>
      <x:c r="S52" s="74"/>
      <x:c r="T52" s="74"/>
      <x:c r="U52" s="74"/>
      <x:c r="V52" s="74"/>
    </x:row>
    <x:row r="53">
      <x:c r="A53" s="74"/>
      <x:c r="B53" s="74"/>
      <x:c r="C53" s="74"/>
      <x:c r="D53" s="74"/>
      <x:c r="E53" s="74"/>
      <x:c r="F53" s="74"/>
      <x:c r="G53" s="74"/>
      <x:c r="H53" s="74"/>
      <x:c r="I53" s="74"/>
      <x:c r="J53" s="74"/>
      <x:c r="K53" s="74"/>
      <x:c r="L53" s="74"/>
      <x:c r="M53" s="74"/>
      <x:c r="N53" s="74"/>
      <x:c r="O53" s="74"/>
      <x:c r="P53" s="74"/>
      <x:c r="Q53" s="74"/>
      <x:c r="R53" s="74"/>
      <x:c r="S53" s="74"/>
      <x:c r="T53" s="74"/>
      <x:c r="U53" s="74"/>
      <x:c r="V53" s="74"/>
    </x:row>
    <x:row r="54">
      <x:c r="A54" s="74"/>
      <x:c r="B54" s="74"/>
      <x:c r="C54" s="74"/>
      <x:c r="D54" s="74"/>
      <x:c r="E54" s="74"/>
      <x:c r="F54" s="74"/>
      <x:c r="G54" s="74"/>
      <x:c r="H54" s="74"/>
      <x:c r="I54" s="74"/>
      <x:c r="J54" s="74"/>
      <x:c r="K54" s="74"/>
      <x:c r="L54" s="74"/>
      <x:c r="M54" s="74"/>
      <x:c r="N54" s="74"/>
      <x:c r="O54" s="74"/>
      <x:c r="P54" s="74"/>
      <x:c r="Q54" s="74"/>
      <x:c r="R54" s="74"/>
      <x:c r="S54" s="74"/>
      <x:c r="T54" s="74"/>
      <x:c r="U54" s="74"/>
      <x:c r="V54" s="74"/>
    </x:row>
    <x:row r="55">
      <x:c r="A55" s="74"/>
      <x:c r="B55" s="74"/>
      <x:c r="C55" s="74"/>
      <x:c r="D55" s="74"/>
      <x:c r="E55" s="74"/>
      <x:c r="F55" s="74"/>
      <x:c r="G55" s="74"/>
      <x:c r="H55" s="74"/>
      <x:c r="I55" s="74"/>
      <x:c r="J55" s="74"/>
      <x:c r="K55" s="74"/>
      <x:c r="L55" s="74"/>
      <x:c r="M55" s="74"/>
      <x:c r="N55" s="74"/>
      <x:c r="O55" s="74"/>
      <x:c r="P55" s="74"/>
      <x:c r="Q55" s="74"/>
      <x:c r="R55" s="74"/>
      <x:c r="S55" s="74"/>
      <x:c r="T55" s="74"/>
      <x:c r="U55" s="74"/>
      <x:c r="V55" s="74"/>
    </x:row>
    <x:row r="56">
      <x:c r="A56" s="74"/>
      <x:c r="B56" s="74"/>
      <x:c r="C56" s="74"/>
      <x:c r="D56" s="74"/>
      <x:c r="E56" s="74"/>
      <x:c r="F56" s="74"/>
      <x:c r="G56" s="74"/>
      <x:c r="H56" s="74"/>
      <x:c r="I56" s="74"/>
      <x:c r="J56" s="74"/>
      <x:c r="K56" s="74"/>
      <x:c r="L56" s="74"/>
      <x:c r="M56" s="74"/>
      <x:c r="N56" s="74"/>
      <x:c r="O56" s="74"/>
      <x:c r="P56" s="74"/>
      <x:c r="Q56" s="74"/>
      <x:c r="R56" s="74"/>
      <x:c r="S56" s="74"/>
      <x:c r="T56" s="74"/>
      <x:c r="U56" s="74"/>
      <x:c r="V56" s="74"/>
    </x:row>
    <x:row r="57">
      <x:c r="A57" s="74"/>
      <x:c r="B57" s="74"/>
      <x:c r="C57" s="74"/>
      <x:c r="D57" s="74"/>
      <x:c r="E57" s="74"/>
      <x:c r="F57" s="74"/>
      <x:c r="G57" s="74"/>
      <x:c r="H57" s="74"/>
      <x:c r="I57" s="74"/>
      <x:c r="J57" s="74"/>
      <x:c r="K57" s="74"/>
      <x:c r="L57" s="74"/>
      <x:c r="M57" s="74"/>
      <x:c r="N57" s="74"/>
      <x:c r="O57" s="74"/>
      <x:c r="P57" s="74"/>
      <x:c r="Q57" s="74"/>
      <x:c r="R57" s="74"/>
      <x:c r="S57" s="74"/>
      <x:c r="T57" s="74"/>
      <x:c r="U57" s="74"/>
      <x:c r="V57" s="74"/>
    </x:row>
    <x:row r="58">
      <x:c r="A58" s="74"/>
      <x:c r="B58" s="74"/>
      <x:c r="C58" s="74"/>
      <x:c r="D58" s="74"/>
      <x:c r="E58" s="74"/>
      <x:c r="F58" s="74"/>
      <x:c r="G58" s="74"/>
      <x:c r="H58" s="74"/>
      <x:c r="I58" s="74"/>
      <x:c r="J58" s="74"/>
      <x:c r="K58" s="74"/>
      <x:c r="L58" s="74"/>
      <x:c r="M58" s="74"/>
      <x:c r="N58" s="74"/>
      <x:c r="O58" s="74"/>
      <x:c r="P58" s="74"/>
      <x:c r="Q58" s="74"/>
      <x:c r="R58" s="74"/>
      <x:c r="S58" s="74"/>
      <x:c r="T58" s="74"/>
      <x:c r="U58" s="74"/>
      <x:c r="V58" s="74"/>
    </x:row>
    <x:row r="59">
      <x:c r="A59" s="74"/>
      <x:c r="B59" s="74"/>
      <x:c r="C59" s="74"/>
      <x:c r="D59" s="74"/>
      <x:c r="E59" s="74"/>
      <x:c r="F59" s="74"/>
      <x:c r="G59" s="74"/>
      <x:c r="H59" s="74"/>
      <x:c r="I59" s="74"/>
      <x:c r="J59" s="74"/>
      <x:c r="K59" s="74"/>
      <x:c r="L59" s="74"/>
      <x:c r="M59" s="74"/>
      <x:c r="N59" s="74"/>
      <x:c r="O59" s="74"/>
      <x:c r="P59" s="74"/>
      <x:c r="Q59" s="74"/>
      <x:c r="R59" s="74"/>
      <x:c r="S59" s="74"/>
      <x:c r="T59" s="74"/>
      <x:c r="U59" s="74"/>
      <x:c r="V59" s="74"/>
    </x:row>
    <x:row r="60">
      <x:c r="A60" s="74"/>
      <x:c r="B60" s="74"/>
      <x:c r="C60" s="74"/>
      <x:c r="D60" s="74"/>
      <x:c r="E60" s="74"/>
      <x:c r="F60" s="74"/>
      <x:c r="G60" s="74"/>
      <x:c r="H60" s="74"/>
      <x:c r="I60" s="74"/>
      <x:c r="J60" s="74"/>
      <x:c r="K60" s="74"/>
      <x:c r="L60" s="74"/>
      <x:c r="M60" s="74"/>
      <x:c r="N60" s="74"/>
      <x:c r="O60" s="74"/>
      <x:c r="P60" s="74"/>
      <x:c r="Q60" s="74"/>
      <x:c r="R60" s="74"/>
      <x:c r="S60" s="74"/>
      <x:c r="T60" s="74"/>
      <x:c r="U60" s="74"/>
      <x:c r="V60" s="74"/>
    </x:row>
    <x:row r="61">
      <x:c r="A61" s="74"/>
      <x:c r="B61" s="74"/>
      <x:c r="C61" s="74"/>
      <x:c r="D61" s="74"/>
      <x:c r="E61" s="74"/>
      <x:c r="F61" s="74"/>
      <x:c r="G61" s="74"/>
      <x:c r="H61" s="74"/>
      <x:c r="I61" s="74"/>
      <x:c r="J61" s="74"/>
      <x:c r="K61" s="74"/>
      <x:c r="L61" s="74"/>
      <x:c r="M61" s="74"/>
      <x:c r="N61" s="74"/>
      <x:c r="O61" s="74"/>
      <x:c r="P61" s="74"/>
      <x:c r="Q61" s="74"/>
      <x:c r="R61" s="74"/>
      <x:c r="S61" s="74"/>
      <x:c r="T61" s="74"/>
      <x:c r="U61" s="74"/>
      <x:c r="V61" s="74"/>
    </x:row>
    <x:row r="62">
      <x:c r="A62" s="74"/>
      <x:c r="B62" s="74"/>
      <x:c r="C62" s="74"/>
      <x:c r="D62" s="74"/>
      <x:c r="E62" s="74"/>
      <x:c r="F62" s="74"/>
      <x:c r="G62" s="74"/>
      <x:c r="H62" s="74"/>
      <x:c r="I62" s="74"/>
      <x:c r="J62" s="74"/>
      <x:c r="K62" s="74"/>
      <x:c r="L62" s="74"/>
      <x:c r="M62" s="74"/>
      <x:c r="N62" s="74"/>
      <x:c r="O62" s="74"/>
      <x:c r="P62" s="74"/>
      <x:c r="Q62" s="74"/>
      <x:c r="R62" s="74"/>
      <x:c r="S62" s="74"/>
      <x:c r="T62" s="74"/>
      <x:c r="U62" s="74"/>
      <x:c r="V62" s="74"/>
    </x:row>
    <x:row r="63">
      <x:c r="A63" s="74"/>
      <x:c r="B63" s="74"/>
      <x:c r="C63" s="74"/>
      <x:c r="D63" s="74"/>
      <x:c r="E63" s="74"/>
      <x:c r="F63" s="74"/>
      <x:c r="G63" s="74"/>
      <x:c r="H63" s="74"/>
      <x:c r="I63" s="74"/>
      <x:c r="J63" s="74"/>
      <x:c r="K63" s="74"/>
      <x:c r="L63" s="74"/>
      <x:c r="M63" s="74"/>
      <x:c r="N63" s="74"/>
      <x:c r="O63" s="74"/>
      <x:c r="P63" s="74"/>
      <x:c r="Q63" s="74"/>
      <x:c r="R63" s="74"/>
      <x:c r="S63" s="74"/>
      <x:c r="T63" s="74"/>
      <x:c r="U63" s="74"/>
      <x:c r="V63" s="74"/>
    </x:row>
    <x:row r="64">
      <x:c r="A64" s="74"/>
      <x:c r="B64" s="74"/>
      <x:c r="C64" s="74"/>
      <x:c r="D64" s="74"/>
      <x:c r="E64" s="74"/>
      <x:c r="F64" s="74"/>
      <x:c r="G64" s="74"/>
      <x:c r="H64" s="74"/>
      <x:c r="I64" s="74"/>
      <x:c r="J64" s="74"/>
      <x:c r="K64" s="74"/>
      <x:c r="L64" s="74"/>
      <x:c r="M64" s="74"/>
      <x:c r="N64" s="74"/>
      <x:c r="O64" s="74"/>
      <x:c r="P64" s="74"/>
      <x:c r="Q64" s="74"/>
      <x:c r="R64" s="74"/>
      <x:c r="S64" s="74"/>
      <x:c r="T64" s="74"/>
      <x:c r="U64" s="74"/>
      <x:c r="V64" s="74"/>
    </x:row>
    <x:row r="65">
      <x:c r="A65" s="74"/>
      <x:c r="B65" s="74"/>
      <x:c r="C65" s="74"/>
      <x:c r="D65" s="74"/>
      <x:c r="E65" s="74"/>
      <x:c r="F65" s="74"/>
      <x:c r="G65" s="74"/>
      <x:c r="H65" s="74"/>
      <x:c r="I65" s="74"/>
      <x:c r="J65" s="74"/>
      <x:c r="K65" s="74"/>
      <x:c r="L65" s="74"/>
      <x:c r="M65" s="74"/>
      <x:c r="N65" s="74"/>
      <x:c r="O65" s="74"/>
      <x:c r="P65" s="74"/>
      <x:c r="Q65" s="74"/>
      <x:c r="R65" s="74"/>
      <x:c r="S65" s="74"/>
      <x:c r="T65" s="74"/>
      <x:c r="U65" s="74"/>
      <x:c r="V65" s="74"/>
    </x:row>
    <x:row r="66">
      <x:c r="A66" s="74"/>
      <x:c r="B66" s="74"/>
      <x:c r="C66" s="74"/>
      <x:c r="D66" s="74"/>
      <x:c r="E66" s="74"/>
      <x:c r="F66" s="74"/>
      <x:c r="G66" s="74"/>
      <x:c r="H66" s="74"/>
      <x:c r="I66" s="74"/>
      <x:c r="J66" s="74"/>
      <x:c r="K66" s="74"/>
      <x:c r="L66" s="74"/>
      <x:c r="M66" s="74"/>
      <x:c r="N66" s="74"/>
      <x:c r="O66" s="74"/>
      <x:c r="P66" s="74"/>
      <x:c r="Q66" s="74"/>
      <x:c r="R66" s="74"/>
      <x:c r="S66" s="74"/>
      <x:c r="T66" s="74"/>
      <x:c r="U66" s="74"/>
      <x:c r="V66" s="74"/>
    </x:row>
    <x:row r="67">
      <x:c r="A67" s="74"/>
      <x:c r="B67" s="74"/>
      <x:c r="C67" s="74"/>
      <x:c r="D67" s="74"/>
      <x:c r="E67" s="74"/>
      <x:c r="F67" s="74"/>
      <x:c r="G67" s="74"/>
      <x:c r="H67" s="74"/>
      <x:c r="I67" s="74"/>
      <x:c r="J67" s="74"/>
      <x:c r="K67" s="74"/>
      <x:c r="L67" s="74"/>
      <x:c r="M67" s="74"/>
      <x:c r="N67" s="74"/>
      <x:c r="O67" s="74"/>
      <x:c r="P67" s="74"/>
      <x:c r="Q67" s="74"/>
      <x:c r="R67" s="74"/>
      <x:c r="S67" s="74"/>
      <x:c r="T67" s="74"/>
      <x:c r="U67" s="74"/>
      <x:c r="V67" s="74"/>
    </x:row>
    <x:row r="68">
      <x:c r="A68" s="74"/>
      <x:c r="B68" s="74"/>
      <x:c r="C68" s="74"/>
      <x:c r="D68" s="74"/>
      <x:c r="E68" s="74"/>
      <x:c r="F68" s="74"/>
      <x:c r="G68" s="74"/>
      <x:c r="H68" s="74"/>
      <x:c r="I68" s="74"/>
      <x:c r="J68" s="74"/>
      <x:c r="K68" s="74"/>
      <x:c r="L68" s="74"/>
      <x:c r="M68" s="74"/>
      <x:c r="N68" s="74"/>
      <x:c r="O68" s="74"/>
      <x:c r="P68" s="74"/>
      <x:c r="Q68" s="74"/>
      <x:c r="R68" s="74"/>
      <x:c r="S68" s="74"/>
      <x:c r="T68" s="74"/>
      <x:c r="U68" s="74"/>
      <x:c r="V68" s="74"/>
    </x:row>
    <x:row r="69">
      <x:c r="A69" s="74"/>
      <x:c r="B69" s="74"/>
      <x:c r="C69" s="74"/>
      <x:c r="D69" s="74"/>
      <x:c r="E69" s="74"/>
      <x:c r="F69" s="74"/>
      <x:c r="G69" s="74"/>
      <x:c r="H69" s="74"/>
      <x:c r="I69" s="74"/>
      <x:c r="J69" s="74"/>
      <x:c r="K69" s="74"/>
      <x:c r="L69" s="74"/>
      <x:c r="M69" s="74"/>
      <x:c r="N69" s="74"/>
      <x:c r="O69" s="74"/>
      <x:c r="P69" s="74"/>
      <x:c r="Q69" s="74"/>
      <x:c r="R69" s="74"/>
      <x:c r="S69" s="74"/>
      <x:c r="T69" s="74"/>
      <x:c r="U69" s="74"/>
      <x:c r="V69" s="74"/>
    </x:row>
    <x:row r="70">
      <x:c r="A70" s="74"/>
      <x:c r="B70" s="74"/>
      <x:c r="C70" s="74"/>
      <x:c r="D70" s="74"/>
      <x:c r="E70" s="74"/>
      <x:c r="F70" s="74"/>
      <x:c r="G70" s="74"/>
      <x:c r="H70" s="74"/>
      <x:c r="I70" s="74"/>
      <x:c r="J70" s="74"/>
      <x:c r="K70" s="74"/>
      <x:c r="L70" s="74"/>
      <x:c r="M70" s="74"/>
      <x:c r="N70" s="74"/>
      <x:c r="O70" s="74"/>
      <x:c r="P70" s="74"/>
      <x:c r="Q70" s="74"/>
      <x:c r="R70" s="74"/>
      <x:c r="S70" s="74"/>
      <x:c r="T70" s="74"/>
      <x:c r="U70" s="74"/>
      <x:c r="V70" s="74"/>
    </x:row>
    <x:row r="71">
      <x:c r="A71" s="74"/>
      <x:c r="B71" s="74"/>
      <x:c r="C71" s="74"/>
      <x:c r="D71" s="74"/>
      <x:c r="E71" s="74"/>
      <x:c r="F71" s="74"/>
      <x:c r="G71" s="74"/>
      <x:c r="H71" s="74"/>
      <x:c r="I71" s="74"/>
      <x:c r="J71" s="74"/>
      <x:c r="K71" s="74"/>
      <x:c r="L71" s="74"/>
      <x:c r="M71" s="74"/>
      <x:c r="N71" s="74"/>
      <x:c r="O71" s="74"/>
      <x:c r="P71" s="74"/>
      <x:c r="Q71" s="74"/>
      <x:c r="R71" s="74"/>
      <x:c r="S71" s="74"/>
      <x:c r="T71" s="74"/>
      <x:c r="U71" s="74"/>
      <x:c r="V71" s="74"/>
    </x:row>
    <x:row r="72">
      <x:c r="A72" s="74"/>
      <x:c r="B72" s="74"/>
      <x:c r="C72" s="74"/>
      <x:c r="D72" s="74"/>
      <x:c r="E72" s="74"/>
      <x:c r="F72" s="74"/>
      <x:c r="G72" s="74"/>
      <x:c r="H72" s="74"/>
      <x:c r="I72" s="74"/>
      <x:c r="J72" s="74"/>
      <x:c r="K72" s="74"/>
      <x:c r="L72" s="74"/>
      <x:c r="M72" s="74"/>
      <x:c r="N72" s="74"/>
      <x:c r="O72" s="74"/>
      <x:c r="P72" s="74"/>
      <x:c r="Q72" s="74"/>
      <x:c r="R72" s="74"/>
      <x:c r="S72" s="74"/>
      <x:c r="T72" s="74"/>
      <x:c r="U72" s="74"/>
      <x:c r="V72" s="74"/>
    </x:row>
    <x:row r="73">
      <x:c r="A73" s="74"/>
      <x:c r="B73" s="74"/>
      <x:c r="C73" s="74"/>
      <x:c r="D73" s="74"/>
      <x:c r="E73" s="74"/>
      <x:c r="F73" s="74"/>
      <x:c r="G73" s="74"/>
      <x:c r="H73" s="74"/>
      <x:c r="I73" s="74"/>
      <x:c r="J73" s="74"/>
      <x:c r="K73" s="74"/>
      <x:c r="L73" s="74"/>
      <x:c r="M73" s="74"/>
      <x:c r="N73" s="74"/>
      <x:c r="O73" s="74"/>
      <x:c r="P73" s="74"/>
      <x:c r="Q73" s="74"/>
      <x:c r="R73" s="74"/>
      <x:c r="S73" s="74"/>
      <x:c r="T73" s="74"/>
      <x:c r="U73" s="74"/>
      <x:c r="V73" s="74"/>
    </x:row>
    <x:row r="74">
      <x:c r="A74" s="74"/>
      <x:c r="B74" s="74"/>
      <x:c r="C74" s="74"/>
      <x:c r="D74" s="74"/>
      <x:c r="E74" s="74"/>
      <x:c r="F74" s="74"/>
      <x:c r="G74" s="74"/>
      <x:c r="H74" s="74"/>
      <x:c r="I74" s="74"/>
      <x:c r="J74" s="74"/>
      <x:c r="K74" s="74"/>
      <x:c r="L74" s="74"/>
      <x:c r="M74" s="74"/>
      <x:c r="N74" s="74"/>
      <x:c r="O74" s="74"/>
      <x:c r="P74" s="74"/>
      <x:c r="Q74" s="74"/>
      <x:c r="R74" s="74"/>
      <x:c r="S74" s="74"/>
      <x:c r="T74" s="74"/>
      <x:c r="U74" s="74"/>
      <x:c r="V74" s="74"/>
    </x:row>
    <x:row r="75">
      <x:c r="A75" s="74"/>
      <x:c r="B75" s="74"/>
      <x:c r="C75" s="74"/>
      <x:c r="D75" s="74"/>
      <x:c r="E75" s="74"/>
      <x:c r="F75" s="74"/>
      <x:c r="G75" s="74"/>
      <x:c r="H75" s="74"/>
      <x:c r="I75" s="74"/>
      <x:c r="J75" s="74"/>
      <x:c r="K75" s="74"/>
      <x:c r="L75" s="74"/>
      <x:c r="M75" s="74"/>
      <x:c r="N75" s="74"/>
      <x:c r="O75" s="74"/>
      <x:c r="P75" s="74"/>
      <x:c r="Q75" s="74"/>
      <x:c r="R75" s="74"/>
      <x:c r="S75" s="74"/>
      <x:c r="T75" s="74"/>
      <x:c r="U75" s="74"/>
      <x:c r="V75" s="74"/>
    </x:row>
    <x:row r="76">
      <x:c r="A76" s="74"/>
      <x:c r="B76" s="74"/>
      <x:c r="C76" s="74"/>
      <x:c r="D76" s="74"/>
      <x:c r="E76" s="74"/>
      <x:c r="F76" s="74"/>
      <x:c r="G76" s="74"/>
      <x:c r="H76" s="74"/>
      <x:c r="I76" s="74"/>
      <x:c r="J76" s="74"/>
      <x:c r="K76" s="74"/>
      <x:c r="L76" s="74"/>
      <x:c r="M76" s="74"/>
      <x:c r="N76" s="74"/>
      <x:c r="O76" s="74"/>
      <x:c r="P76" s="74"/>
      <x:c r="Q76" s="74"/>
      <x:c r="R76" s="74"/>
      <x:c r="S76" s="74"/>
      <x:c r="T76" s="74"/>
      <x:c r="U76" s="74"/>
      <x:c r="V76" s="74"/>
    </x:row>
    <x:row r="77">
      <x:c r="A77" s="74"/>
      <x:c r="B77" s="74"/>
      <x:c r="C77" s="74"/>
      <x:c r="D77" s="74"/>
      <x:c r="E77" s="74"/>
      <x:c r="F77" s="74"/>
      <x:c r="G77" s="74"/>
      <x:c r="H77" s="74"/>
      <x:c r="I77" s="74"/>
      <x:c r="J77" s="74"/>
      <x:c r="K77" s="74"/>
      <x:c r="L77" s="74"/>
      <x:c r="M77" s="74"/>
      <x:c r="N77" s="74"/>
      <x:c r="O77" s="74"/>
      <x:c r="P77" s="74"/>
      <x:c r="Q77" s="74"/>
      <x:c r="R77" s="74"/>
      <x:c r="S77" s="74"/>
      <x:c r="T77" s="74"/>
      <x:c r="U77" s="74"/>
      <x:c r="V77" s="74"/>
    </x:row>
    <x:row r="78">
      <x:c r="A78" s="74"/>
      <x:c r="B78" s="74"/>
      <x:c r="C78" s="74"/>
      <x:c r="D78" s="74"/>
      <x:c r="E78" s="74"/>
      <x:c r="F78" s="74"/>
      <x:c r="G78" s="74"/>
      <x:c r="H78" s="74"/>
      <x:c r="I78" s="74"/>
      <x:c r="J78" s="74"/>
      <x:c r="K78" s="74"/>
      <x:c r="L78" s="74"/>
      <x:c r="M78" s="74"/>
      <x:c r="N78" s="74"/>
      <x:c r="O78" s="74"/>
      <x:c r="P78" s="74"/>
      <x:c r="Q78" s="74"/>
      <x:c r="R78" s="74"/>
      <x:c r="S78" s="74"/>
      <x:c r="T78" s="74"/>
      <x:c r="U78" s="74"/>
      <x:c r="V78" s="74"/>
    </x:row>
    <x:row r="79">
      <x:c r="A79" s="74"/>
      <x:c r="B79" s="74"/>
      <x:c r="C79" s="74"/>
      <x:c r="D79" s="74"/>
      <x:c r="E79" s="74"/>
      <x:c r="F79" s="74"/>
      <x:c r="G79" s="74"/>
      <x:c r="H79" s="74"/>
      <x:c r="I79" s="74"/>
      <x:c r="J79" s="74"/>
      <x:c r="K79" s="74"/>
      <x:c r="L79" s="74"/>
      <x:c r="M79" s="74"/>
      <x:c r="N79" s="74"/>
      <x:c r="O79" s="74"/>
      <x:c r="P79" s="74"/>
      <x:c r="Q79" s="74"/>
      <x:c r="R79" s="74"/>
      <x:c r="S79" s="74"/>
      <x:c r="T79" s="74"/>
      <x:c r="U79" s="74"/>
      <x:c r="V79" s="74"/>
    </x:row>
    <x:row r="80">
      <x:c r="A80" s="74"/>
      <x:c r="B80" s="74"/>
      <x:c r="C80" s="74"/>
      <x:c r="D80" s="74"/>
      <x:c r="E80" s="74"/>
      <x:c r="F80" s="74"/>
      <x:c r="G80" s="74"/>
      <x:c r="H80" s="74"/>
      <x:c r="I80" s="74"/>
      <x:c r="J80" s="74"/>
      <x:c r="K80" s="74"/>
      <x:c r="L80" s="74"/>
      <x:c r="M80" s="74"/>
      <x:c r="N80" s="74"/>
      <x:c r="O80" s="74"/>
      <x:c r="P80" s="74"/>
      <x:c r="Q80" s="74"/>
      <x:c r="R80" s="74"/>
      <x:c r="S80" s="74"/>
      <x:c r="T80" s="74"/>
      <x:c r="U80" s="74"/>
      <x:c r="V80" s="74"/>
    </x:row>
    <x:row r="81">
      <x:c r="A81" s="74"/>
      <x:c r="B81" s="74"/>
      <x:c r="C81" s="74"/>
      <x:c r="D81" s="74"/>
      <x:c r="E81" s="74"/>
      <x:c r="F81" s="74"/>
      <x:c r="G81" s="74"/>
      <x:c r="H81" s="74"/>
      <x:c r="I81" s="74"/>
      <x:c r="J81" s="74"/>
      <x:c r="K81" s="74"/>
      <x:c r="L81" s="74"/>
      <x:c r="M81" s="74"/>
      <x:c r="N81" s="74"/>
      <x:c r="O81" s="74"/>
      <x:c r="P81" s="74"/>
      <x:c r="Q81" s="74"/>
      <x:c r="R81" s="74"/>
      <x:c r="S81" s="74"/>
      <x:c r="T81" s="74"/>
      <x:c r="U81" s="74"/>
      <x:c r="V81" s="74"/>
    </x:row>
    <x:row r="82">
      <x:c r="A82" s="74"/>
      <x:c r="B82" s="74"/>
      <x:c r="C82" s="74"/>
      <x:c r="D82" s="74"/>
      <x:c r="E82" s="74"/>
      <x:c r="F82" s="74"/>
      <x:c r="G82" s="74"/>
      <x:c r="H82" s="74"/>
      <x:c r="I82" s="74"/>
      <x:c r="J82" s="74"/>
      <x:c r="K82" s="74"/>
      <x:c r="L82" s="74"/>
      <x:c r="M82" s="74"/>
      <x:c r="N82" s="74"/>
      <x:c r="O82" s="74"/>
      <x:c r="P82" s="74"/>
      <x:c r="Q82" s="74"/>
      <x:c r="R82" s="74"/>
      <x:c r="S82" s="74"/>
      <x:c r="T82" s="74"/>
      <x:c r="U82" s="74"/>
      <x:c r="V82" s="74"/>
    </x:row>
    <x:row r="83">
      <x:c r="A83" s="74"/>
      <x:c r="B83" s="74"/>
      <x:c r="C83" s="74"/>
      <x:c r="D83" s="74"/>
      <x:c r="E83" s="74"/>
      <x:c r="F83" s="74"/>
      <x:c r="G83" s="74"/>
      <x:c r="H83" s="74"/>
      <x:c r="I83" s="74"/>
      <x:c r="J83" s="74"/>
      <x:c r="K83" s="74"/>
      <x:c r="L83" s="74"/>
      <x:c r="M83" s="74"/>
      <x:c r="N83" s="74"/>
      <x:c r="O83" s="74"/>
      <x:c r="P83" s="74"/>
      <x:c r="Q83" s="74"/>
      <x:c r="R83" s="74"/>
      <x:c r="S83" s="74"/>
      <x:c r="T83" s="74"/>
      <x:c r="U83" s="74"/>
      <x:c r="V83" s="74"/>
    </x:row>
    <x:row r="84">
      <x:c r="A84" s="74"/>
      <x:c r="B84" s="74"/>
      <x:c r="C84" s="74"/>
      <x:c r="D84" s="74"/>
      <x:c r="E84" s="74"/>
      <x:c r="F84" s="74"/>
      <x:c r="G84" s="74"/>
      <x:c r="H84" s="74"/>
      <x:c r="I84" s="74"/>
      <x:c r="J84" s="74"/>
      <x:c r="K84" s="74"/>
      <x:c r="L84" s="74"/>
      <x:c r="M84" s="74"/>
      <x:c r="N84" s="74"/>
      <x:c r="O84" s="74"/>
      <x:c r="P84" s="74"/>
      <x:c r="Q84" s="74"/>
      <x:c r="R84" s="74"/>
      <x:c r="S84" s="74"/>
      <x:c r="T84" s="74"/>
      <x:c r="U84" s="74"/>
      <x:c r="V84" s="74"/>
    </x:row>
    <x:row r="85">
      <x:c r="A85" s="74"/>
      <x:c r="B85" s="74"/>
      <x:c r="C85" s="74"/>
      <x:c r="D85" s="74"/>
      <x:c r="E85" s="74"/>
      <x:c r="F85" s="74"/>
      <x:c r="G85" s="74"/>
      <x:c r="H85" s="74"/>
      <x:c r="I85" s="74"/>
      <x:c r="J85" s="74"/>
      <x:c r="K85" s="74"/>
      <x:c r="L85" s="74"/>
      <x:c r="M85" s="74"/>
      <x:c r="N85" s="74"/>
      <x:c r="O85" s="74"/>
      <x:c r="P85" s="74"/>
      <x:c r="Q85" s="74"/>
      <x:c r="R85" s="74"/>
      <x:c r="S85" s="74"/>
      <x:c r="T85" s="74"/>
      <x:c r="U85" s="74"/>
      <x:c r="V85" s="74"/>
    </x:row>
    <x:row r="86">
      <x:c r="A86" s="74"/>
      <x:c r="B86" s="74"/>
      <x:c r="C86" s="74"/>
      <x:c r="D86" s="74"/>
      <x:c r="E86" s="74"/>
      <x:c r="F86" s="74"/>
      <x:c r="G86" s="74"/>
      <x:c r="H86" s="74"/>
      <x:c r="I86" s="74"/>
      <x:c r="J86" s="74"/>
      <x:c r="K86" s="74"/>
      <x:c r="L86" s="74"/>
      <x:c r="M86" s="74"/>
      <x:c r="N86" s="74"/>
      <x:c r="O86" s="74"/>
      <x:c r="P86" s="74"/>
      <x:c r="Q86" s="74"/>
      <x:c r="R86" s="74"/>
      <x:c r="S86" s="74"/>
      <x:c r="T86" s="74"/>
      <x:c r="U86" s="74"/>
      <x:c r="V86" s="74"/>
    </x:row>
    <x:row r="87">
      <x:c r="A87" s="74"/>
      <x:c r="B87" s="74"/>
      <x:c r="C87" s="74"/>
      <x:c r="D87" s="74"/>
      <x:c r="E87" s="74"/>
      <x:c r="F87" s="74"/>
      <x:c r="G87" s="74"/>
      <x:c r="H87" s="74"/>
      <x:c r="I87" s="74"/>
      <x:c r="J87" s="74"/>
      <x:c r="K87" s="74"/>
      <x:c r="L87" s="74"/>
      <x:c r="M87" s="74"/>
      <x:c r="N87" s="74"/>
      <x:c r="O87" s="74"/>
      <x:c r="P87" s="74"/>
      <x:c r="Q87" s="74"/>
      <x:c r="R87" s="74"/>
      <x:c r="S87" s="74"/>
      <x:c r="T87" s="74"/>
      <x:c r="U87" s="74"/>
      <x:c r="V87" s="74"/>
    </x:row>
    <x:row r="88">
      <x:c r="A88" s="74"/>
      <x:c r="B88" s="74"/>
      <x:c r="C88" s="74"/>
      <x:c r="D88" s="74"/>
      <x:c r="E88" s="74"/>
      <x:c r="F88" s="74"/>
      <x:c r="G88" s="74"/>
      <x:c r="H88" s="74"/>
      <x:c r="I88" s="74"/>
      <x:c r="J88" s="74"/>
      <x:c r="K88" s="74"/>
      <x:c r="L88" s="74"/>
      <x:c r="M88" s="74"/>
      <x:c r="N88" s="74"/>
      <x:c r="O88" s="74"/>
      <x:c r="P88" s="74"/>
      <x:c r="Q88" s="74"/>
      <x:c r="R88" s="74"/>
      <x:c r="S88" s="74"/>
      <x:c r="T88" s="74"/>
      <x:c r="U88" s="74"/>
      <x:c r="V88" s="74"/>
    </x:row>
    <x:row r="89">
      <x:c r="A89" s="74"/>
      <x:c r="B89" s="74"/>
      <x:c r="C89" s="74"/>
      <x:c r="D89" s="74"/>
      <x:c r="E89" s="74"/>
      <x:c r="F89" s="74"/>
      <x:c r="G89" s="74"/>
      <x:c r="H89" s="74"/>
      <x:c r="I89" s="74"/>
      <x:c r="J89" s="74"/>
      <x:c r="K89" s="74"/>
      <x:c r="L89" s="74"/>
      <x:c r="M89" s="74"/>
      <x:c r="N89" s="74"/>
      <x:c r="O89" s="74"/>
      <x:c r="P89" s="74"/>
      <x:c r="Q89" s="74"/>
      <x:c r="R89" s="74"/>
      <x:c r="S89" s="74"/>
      <x:c r="T89" s="74"/>
      <x:c r="U89" s="74"/>
      <x:c r="V89" s="74"/>
    </x:row>
    <x:row r="90">
      <x:c r="A90" s="74"/>
      <x:c r="B90" s="74"/>
      <x:c r="C90" s="74"/>
      <x:c r="D90" s="74"/>
      <x:c r="E90" s="74"/>
      <x:c r="F90" s="74"/>
      <x:c r="G90" s="74"/>
      <x:c r="H90" s="74"/>
      <x:c r="I90" s="74"/>
      <x:c r="J90" s="74"/>
      <x:c r="K90" s="74"/>
      <x:c r="L90" s="74"/>
      <x:c r="M90" s="74"/>
      <x:c r="N90" s="74"/>
      <x:c r="O90" s="74"/>
      <x:c r="P90" s="74"/>
      <x:c r="Q90" s="74"/>
      <x:c r="R90" s="74"/>
      <x:c r="S90" s="74"/>
      <x:c r="T90" s="74"/>
      <x:c r="U90" s="74"/>
      <x:c r="V90" s="74"/>
    </x:row>
    <x:row r="91">
      <x:c r="A91" s="74"/>
      <x:c r="B91" s="74"/>
      <x:c r="C91" s="74"/>
      <x:c r="D91" s="74"/>
      <x:c r="E91" s="74"/>
      <x:c r="F91" s="74"/>
      <x:c r="G91" s="74"/>
      <x:c r="H91" s="74"/>
      <x:c r="I91" s="74"/>
      <x:c r="J91" s="74"/>
      <x:c r="K91" s="74"/>
      <x:c r="L91" s="74"/>
      <x:c r="M91" s="74"/>
      <x:c r="N91" s="74"/>
      <x:c r="O91" s="74"/>
      <x:c r="P91" s="74"/>
      <x:c r="Q91" s="74"/>
      <x:c r="R91" s="74"/>
      <x:c r="S91" s="74"/>
      <x:c r="T91" s="74"/>
      <x:c r="U91" s="74"/>
      <x:c r="V91" s="74"/>
    </x:row>
    <x:row r="92">
      <x:c r="A92" s="74"/>
      <x:c r="B92" s="74"/>
      <x:c r="C92" s="74"/>
      <x:c r="D92" s="74"/>
      <x:c r="E92" s="74"/>
      <x:c r="F92" s="74"/>
      <x:c r="G92" s="74"/>
      <x:c r="H92" s="74"/>
      <x:c r="I92" s="74"/>
      <x:c r="J92" s="74"/>
      <x:c r="K92" s="74"/>
      <x:c r="L92" s="74"/>
      <x:c r="M92" s="74"/>
      <x:c r="N92" s="74"/>
      <x:c r="O92" s="74"/>
      <x:c r="P92" s="74"/>
      <x:c r="Q92" s="74"/>
      <x:c r="R92" s="74"/>
      <x:c r="S92" s="74"/>
      <x:c r="T92" s="74"/>
      <x:c r="U92" s="74"/>
      <x:c r="V92" s="74"/>
    </x:row>
    <x:row r="93">
      <x:c r="A93" s="74"/>
      <x:c r="B93" s="74"/>
      <x:c r="C93" s="74"/>
      <x:c r="D93" s="74"/>
      <x:c r="E93" s="74"/>
      <x:c r="F93" s="74"/>
      <x:c r="G93" s="74"/>
      <x:c r="H93" s="74"/>
      <x:c r="I93" s="74"/>
      <x:c r="J93" s="74"/>
      <x:c r="K93" s="74"/>
      <x:c r="L93" s="74"/>
      <x:c r="M93" s="74"/>
      <x:c r="N93" s="74"/>
      <x:c r="O93" s="74"/>
      <x:c r="P93" s="74"/>
      <x:c r="Q93" s="74"/>
      <x:c r="R93" s="74"/>
      <x:c r="S93" s="74"/>
      <x:c r="T93" s="74"/>
      <x:c r="U93" s="74"/>
      <x:c r="V93" s="74"/>
    </x:row>
    <x:row r="94">
      <x:c r="A94" s="74"/>
      <x:c r="B94" s="74"/>
      <x:c r="C94" s="74"/>
      <x:c r="D94" s="74"/>
      <x:c r="E94" s="74"/>
      <x:c r="F94" s="74"/>
      <x:c r="G94" s="74"/>
      <x:c r="H94" s="74"/>
      <x:c r="I94" s="74"/>
      <x:c r="J94" s="74"/>
      <x:c r="K94" s="74"/>
      <x:c r="L94" s="74"/>
      <x:c r="M94" s="74"/>
      <x:c r="N94" s="74"/>
      <x:c r="O94" s="74"/>
      <x:c r="P94" s="74"/>
      <x:c r="Q94" s="74"/>
      <x:c r="R94" s="74"/>
      <x:c r="S94" s="74"/>
      <x:c r="T94" s="74"/>
      <x:c r="U94" s="74"/>
      <x:c r="V94" s="74"/>
    </x:row>
    <x:row r="95">
      <x:c r="A95" s="74"/>
      <x:c r="B95" s="74"/>
      <x:c r="C95" s="74"/>
      <x:c r="D95" s="74"/>
      <x:c r="E95" s="74"/>
      <x:c r="F95" s="74"/>
      <x:c r="G95" s="74"/>
      <x:c r="H95" s="74"/>
      <x:c r="I95" s="74"/>
      <x:c r="J95" s="74"/>
      <x:c r="K95" s="74"/>
      <x:c r="L95" s="74"/>
      <x:c r="M95" s="74"/>
      <x:c r="N95" s="74"/>
      <x:c r="O95" s="74"/>
      <x:c r="P95" s="74"/>
      <x:c r="Q95" s="74"/>
      <x:c r="R95" s="74"/>
      <x:c r="S95" s="74"/>
      <x:c r="T95" s="74"/>
      <x:c r="U95" s="74"/>
      <x:c r="V95" s="74"/>
    </x:row>
    <x:row r="96">
      <x:c r="A96" s="74"/>
      <x:c r="B96" s="74"/>
      <x:c r="C96" s="74"/>
      <x:c r="D96" s="74"/>
      <x:c r="E96" s="74"/>
      <x:c r="F96" s="74"/>
      <x:c r="G96" s="74"/>
      <x:c r="H96" s="74"/>
      <x:c r="I96" s="74"/>
      <x:c r="J96" s="74"/>
      <x:c r="K96" s="74"/>
      <x:c r="L96" s="74"/>
      <x:c r="M96" s="74"/>
      <x:c r="N96" s="74"/>
      <x:c r="O96" s="74"/>
      <x:c r="P96" s="74"/>
      <x:c r="Q96" s="74"/>
      <x:c r="R96" s="74"/>
      <x:c r="S96" s="74"/>
      <x:c r="T96" s="74"/>
      <x:c r="U96" s="74"/>
      <x:c r="V96" s="74"/>
    </x:row>
    <x:row r="97">
      <x:c r="A97" s="74"/>
      <x:c r="B97" s="74"/>
      <x:c r="C97" s="74"/>
      <x:c r="D97" s="74"/>
      <x:c r="E97" s="74"/>
      <x:c r="F97" s="74"/>
      <x:c r="G97" s="74"/>
      <x:c r="H97" s="74"/>
      <x:c r="I97" s="74"/>
      <x:c r="J97" s="74"/>
      <x:c r="K97" s="74"/>
      <x:c r="L97" s="74"/>
      <x:c r="M97" s="74"/>
      <x:c r="N97" s="74"/>
      <x:c r="O97" s="74"/>
      <x:c r="P97" s="74"/>
      <x:c r="Q97" s="74"/>
      <x:c r="R97" s="74"/>
      <x:c r="S97" s="74"/>
      <x:c r="T97" s="74"/>
      <x:c r="U97" s="74"/>
      <x:c r="V97" s="74"/>
    </x:row>
    <x:row r="98">
      <x:c r="A98" s="74"/>
      <x:c r="B98" s="74"/>
      <x:c r="C98" s="74"/>
      <x:c r="D98" s="74"/>
      <x:c r="E98" s="74"/>
      <x:c r="F98" s="74"/>
      <x:c r="G98" s="74"/>
      <x:c r="H98" s="74"/>
      <x:c r="I98" s="74"/>
      <x:c r="J98" s="74"/>
      <x:c r="K98" s="74"/>
      <x:c r="L98" s="74"/>
      <x:c r="M98" s="74"/>
      <x:c r="N98" s="74"/>
      <x:c r="O98" s="74"/>
      <x:c r="P98" s="74"/>
      <x:c r="Q98" s="74"/>
      <x:c r="R98" s="74"/>
      <x:c r="S98" s="74"/>
      <x:c r="T98" s="74"/>
      <x:c r="U98" s="74"/>
      <x:c r="V98" s="74"/>
    </x:row>
    <x:row r="99">
      <x:c r="A99" s="74"/>
      <x:c r="B99" s="74"/>
      <x:c r="C99" s="74"/>
      <x:c r="D99" s="74"/>
      <x:c r="E99" s="74"/>
      <x:c r="F99" s="74"/>
      <x:c r="G99" s="74"/>
      <x:c r="H99" s="74"/>
      <x:c r="I99" s="74"/>
      <x:c r="J99" s="74"/>
      <x:c r="K99" s="74"/>
      <x:c r="L99" s="74"/>
      <x:c r="M99" s="74"/>
      <x:c r="N99" s="74"/>
      <x:c r="O99" s="74"/>
      <x:c r="P99" s="74"/>
      <x:c r="Q99" s="74"/>
      <x:c r="R99" s="74"/>
      <x:c r="S99" s="74"/>
      <x:c r="T99" s="74"/>
      <x:c r="U99" s="74"/>
      <x:c r="V99" s="74"/>
    </x:row>
    <x:row r="100">
      <x:c r="A100" s="74"/>
      <x:c r="B100" s="74"/>
      <x:c r="C100" s="74"/>
      <x:c r="D100" s="74"/>
      <x:c r="E100" s="74"/>
      <x:c r="F100" s="74"/>
      <x:c r="G100" s="74"/>
      <x:c r="H100" s="74"/>
      <x:c r="I100" s="74"/>
      <x:c r="J100" s="74"/>
      <x:c r="K100" s="74"/>
      <x:c r="L100" s="74"/>
      <x:c r="M100" s="74"/>
      <x:c r="N100" s="74"/>
      <x:c r="O100" s="74"/>
      <x:c r="P100" s="74"/>
      <x:c r="Q100" s="74"/>
      <x:c r="R100" s="74"/>
      <x:c r="S100" s="74"/>
      <x:c r="T100" s="74"/>
      <x:c r="U100" s="74"/>
      <x:c r="V100" s="74"/>
    </x:row>
    <x:row r="101">
      <x:c r="A101" s="74"/>
      <x:c r="B101" s="74"/>
      <x:c r="C101" s="74"/>
      <x:c r="D101" s="74"/>
      <x:c r="E101" s="74"/>
      <x:c r="F101" s="74"/>
      <x:c r="G101" s="74"/>
      <x:c r="H101" s="74"/>
      <x:c r="I101" s="74"/>
      <x:c r="J101" s="74"/>
      <x:c r="K101" s="74"/>
      <x:c r="L101" s="74"/>
      <x:c r="M101" s="74"/>
      <x:c r="N101" s="74"/>
      <x:c r="O101" s="74"/>
      <x:c r="P101" s="74"/>
      <x:c r="Q101" s="74"/>
      <x:c r="R101" s="74"/>
      <x:c r="S101" s="74"/>
      <x:c r="T101" s="74"/>
      <x:c r="U101" s="74"/>
      <x:c r="V101" s="74"/>
    </x:row>
    <x:row r="102">
      <x:c r="A102" s="74"/>
      <x:c r="B102" s="74"/>
      <x:c r="C102" s="74"/>
      <x:c r="D102" s="74"/>
      <x:c r="E102" s="74"/>
      <x:c r="F102" s="74"/>
      <x:c r="G102" s="74"/>
      <x:c r="H102" s="74"/>
      <x:c r="I102" s="74"/>
      <x:c r="J102" s="74"/>
      <x:c r="K102" s="74"/>
      <x:c r="L102" s="74"/>
      <x:c r="M102" s="74"/>
      <x:c r="N102" s="74"/>
      <x:c r="O102" s="74"/>
      <x:c r="P102" s="74"/>
      <x:c r="Q102" s="74"/>
      <x:c r="R102" s="74"/>
      <x:c r="S102" s="74"/>
      <x:c r="T102" s="74"/>
      <x:c r="U102" s="74"/>
      <x:c r="V102" s="74"/>
    </x:row>
    <x:row r="103">
      <x:c r="A103" s="74"/>
      <x:c r="B103" s="74"/>
      <x:c r="C103" s="74"/>
      <x:c r="D103" s="74"/>
      <x:c r="E103" s="74"/>
      <x:c r="F103" s="74"/>
      <x:c r="G103" s="74"/>
      <x:c r="H103" s="74"/>
      <x:c r="I103" s="74"/>
      <x:c r="J103" s="74"/>
      <x:c r="K103" s="74"/>
      <x:c r="L103" s="74"/>
      <x:c r="M103" s="74"/>
      <x:c r="N103" s="74"/>
      <x:c r="O103" s="74"/>
      <x:c r="P103" s="74"/>
      <x:c r="Q103" s="74"/>
      <x:c r="R103" s="74"/>
      <x:c r="S103" s="74"/>
      <x:c r="T103" s="74"/>
      <x:c r="U103" s="74"/>
      <x:c r="V103" s="74"/>
    </x:row>
    <x:row r="104">
      <x:c r="A104" s="74"/>
      <x:c r="B104" s="74"/>
      <x:c r="C104" s="74"/>
      <x:c r="D104" s="74"/>
      <x:c r="E104" s="74"/>
      <x:c r="F104" s="74"/>
      <x:c r="G104" s="74"/>
      <x:c r="H104" s="74"/>
      <x:c r="I104" s="74"/>
      <x:c r="J104" s="74"/>
      <x:c r="K104" s="74"/>
      <x:c r="L104" s="74"/>
      <x:c r="M104" s="74"/>
      <x:c r="N104" s="74"/>
      <x:c r="O104" s="74"/>
      <x:c r="P104" s="74"/>
      <x:c r="Q104" s="74"/>
      <x:c r="R104" s="74"/>
      <x:c r="S104" s="74"/>
      <x:c r="T104" s="74"/>
      <x:c r="U104" s="74"/>
      <x:c r="V104" s="74"/>
    </x:row>
    <x:row r="105">
      <x:c r="A105" s="74"/>
      <x:c r="B105" s="74"/>
      <x:c r="C105" s="74"/>
      <x:c r="D105" s="74"/>
      <x:c r="E105" s="74"/>
      <x:c r="F105" s="74"/>
      <x:c r="G105" s="74"/>
      <x:c r="H105" s="74"/>
      <x:c r="I105" s="74"/>
      <x:c r="J105" s="74"/>
      <x:c r="K105" s="74"/>
      <x:c r="L105" s="74"/>
      <x:c r="M105" s="74"/>
      <x:c r="N105" s="74"/>
      <x:c r="O105" s="74"/>
      <x:c r="P105" s="74"/>
      <x:c r="Q105" s="74"/>
      <x:c r="R105" s="74"/>
      <x:c r="S105" s="74"/>
      <x:c r="T105" s="74"/>
      <x:c r="U105" s="74"/>
      <x:c r="V105" s="74"/>
    </x:row>
    <x:row r="106">
      <x:c r="A106" s="74"/>
      <x:c r="B106" s="74"/>
      <x:c r="C106" s="74"/>
      <x:c r="D106" s="74"/>
      <x:c r="E106" s="74"/>
      <x:c r="F106" s="74"/>
      <x:c r="G106" s="74"/>
      <x:c r="H106" s="74"/>
      <x:c r="I106" s="74"/>
      <x:c r="J106" s="74"/>
      <x:c r="K106" s="74"/>
      <x:c r="L106" s="74"/>
      <x:c r="M106" s="74"/>
      <x:c r="N106" s="74"/>
      <x:c r="O106" s="74"/>
      <x:c r="P106" s="74"/>
      <x:c r="Q106" s="74"/>
      <x:c r="R106" s="74"/>
      <x:c r="S106" s="74"/>
      <x:c r="T106" s="74"/>
      <x:c r="U106" s="74"/>
      <x:c r="V106" s="74"/>
    </x:row>
    <x:row r="107">
      <x:c r="A107" s="74"/>
      <x:c r="B107" s="74"/>
      <x:c r="C107" s="74"/>
      <x:c r="D107" s="74"/>
      <x:c r="E107" s="74"/>
      <x:c r="F107" s="74"/>
      <x:c r="G107" s="74"/>
      <x:c r="H107" s="74"/>
      <x:c r="I107" s="74"/>
      <x:c r="J107" s="74"/>
      <x:c r="K107" s="74"/>
      <x:c r="L107" s="74"/>
      <x:c r="M107" s="74"/>
      <x:c r="N107" s="74"/>
      <x:c r="O107" s="74"/>
      <x:c r="P107" s="74"/>
      <x:c r="Q107" s="74"/>
      <x:c r="R107" s="74"/>
      <x:c r="S107" s="74"/>
      <x:c r="T107" s="74"/>
      <x:c r="U107" s="74"/>
      <x:c r="V107" s="74"/>
    </x:row>
    <x:row r="108">
      <x:c r="A108" s="74"/>
      <x:c r="B108" s="74"/>
      <x:c r="C108" s="74"/>
      <x:c r="D108" s="74"/>
      <x:c r="E108" s="74"/>
      <x:c r="F108" s="74"/>
      <x:c r="G108" s="74"/>
      <x:c r="H108" s="74"/>
      <x:c r="I108" s="74"/>
      <x:c r="J108" s="74"/>
      <x:c r="K108" s="74"/>
      <x:c r="L108" s="74"/>
      <x:c r="M108" s="74"/>
      <x:c r="N108" s="74"/>
      <x:c r="O108" s="74"/>
      <x:c r="P108" s="74"/>
      <x:c r="Q108" s="74"/>
      <x:c r="R108" s="74"/>
      <x:c r="S108" s="74"/>
      <x:c r="T108" s="74"/>
      <x:c r="U108" s="74"/>
      <x:c r="V108" s="74"/>
    </x:row>
    <x:row r="109">
      <x:c r="A109" s="74"/>
      <x:c r="B109" s="74"/>
      <x:c r="C109" s="74"/>
      <x:c r="D109" s="74"/>
      <x:c r="E109" s="74"/>
      <x:c r="F109" s="74"/>
      <x:c r="G109" s="74"/>
      <x:c r="H109" s="74"/>
      <x:c r="I109" s="74"/>
      <x:c r="J109" s="74"/>
      <x:c r="K109" s="74"/>
      <x:c r="L109" s="74"/>
      <x:c r="M109" s="74"/>
      <x:c r="N109" s="74"/>
      <x:c r="O109" s="74"/>
      <x:c r="P109" s="74"/>
      <x:c r="Q109" s="74"/>
      <x:c r="R109" s="74"/>
      <x:c r="S109" s="74"/>
      <x:c r="T109" s="74"/>
      <x:c r="U109" s="74"/>
      <x:c r="V109" s="74"/>
    </x:row>
    <x:row r="110">
      <x:c r="A110" s="74"/>
      <x:c r="B110" s="74"/>
      <x:c r="C110" s="74"/>
      <x:c r="D110" s="74"/>
      <x:c r="E110" s="74"/>
      <x:c r="F110" s="74"/>
      <x:c r="G110" s="74"/>
      <x:c r="H110" s="74"/>
      <x:c r="I110" s="74"/>
      <x:c r="J110" s="74"/>
      <x:c r="K110" s="74"/>
      <x:c r="L110" s="74"/>
      <x:c r="M110" s="74"/>
      <x:c r="N110" s="74"/>
      <x:c r="O110" s="74"/>
      <x:c r="P110" s="74"/>
      <x:c r="Q110" s="74"/>
      <x:c r="R110" s="74"/>
      <x:c r="S110" s="74"/>
      <x:c r="T110" s="74"/>
      <x:c r="U110" s="74"/>
      <x:c r="V110" s="74"/>
    </x:row>
    <x:row r="111">
      <x:c r="A111" s="74"/>
      <x:c r="B111" s="74"/>
      <x:c r="C111" s="74"/>
      <x:c r="D111" s="74"/>
      <x:c r="E111" s="74"/>
      <x:c r="F111" s="74"/>
      <x:c r="G111" s="74"/>
      <x:c r="H111" s="74"/>
      <x:c r="I111" s="74"/>
      <x:c r="J111" s="74"/>
      <x:c r="K111" s="74"/>
      <x:c r="L111" s="74"/>
      <x:c r="M111" s="74"/>
      <x:c r="N111" s="74"/>
      <x:c r="O111" s="74"/>
      <x:c r="P111" s="74"/>
      <x:c r="Q111" s="74"/>
      <x:c r="R111" s="74"/>
      <x:c r="S111" s="74"/>
      <x:c r="T111" s="74"/>
      <x:c r="U111" s="74"/>
      <x:c r="V111" s="74"/>
    </x:row>
    <x:row r="112">
      <x:c r="A112" s="74"/>
      <x:c r="B112" s="74"/>
      <x:c r="C112" s="74"/>
      <x:c r="D112" s="74"/>
      <x:c r="E112" s="74"/>
      <x:c r="F112" s="74"/>
      <x:c r="G112" s="74"/>
      <x:c r="H112" s="74"/>
      <x:c r="I112" s="74"/>
      <x:c r="J112" s="74"/>
      <x:c r="K112" s="74"/>
      <x:c r="L112" s="74"/>
      <x:c r="M112" s="74"/>
      <x:c r="N112" s="74"/>
      <x:c r="O112" s="74"/>
      <x:c r="P112" s="74"/>
      <x:c r="Q112" s="74"/>
      <x:c r="R112" s="74"/>
      <x:c r="S112" s="74"/>
      <x:c r="T112" s="74"/>
      <x:c r="U112" s="74"/>
      <x:c r="V112" s="74"/>
    </x:row>
    <x:row r="113">
      <x:c r="A113" s="74"/>
      <x:c r="B113" s="74"/>
      <x:c r="C113" s="74"/>
      <x:c r="D113" s="74"/>
      <x:c r="E113" s="74"/>
      <x:c r="F113" s="74"/>
      <x:c r="G113" s="74"/>
      <x:c r="H113" s="74"/>
      <x:c r="I113" s="74"/>
      <x:c r="J113" s="74"/>
      <x:c r="K113" s="74"/>
      <x:c r="L113" s="74"/>
      <x:c r="M113" s="74"/>
      <x:c r="N113" s="74"/>
      <x:c r="O113" s="74"/>
      <x:c r="P113" s="74"/>
      <x:c r="Q113" s="74"/>
      <x:c r="R113" s="74"/>
      <x:c r="S113" s="74"/>
      <x:c r="T113" s="74"/>
      <x:c r="U113" s="74"/>
      <x:c r="V113" s="74"/>
    </x:row>
    <x:row r="114">
      <x:c r="A114" s="74"/>
      <x:c r="B114" s="74"/>
      <x:c r="C114" s="74"/>
      <x:c r="D114" s="74"/>
      <x:c r="E114" s="74"/>
      <x:c r="F114" s="74"/>
      <x:c r="G114" s="74"/>
      <x:c r="H114" s="74"/>
      <x:c r="I114" s="74"/>
      <x:c r="J114" s="74"/>
      <x:c r="K114" s="74"/>
      <x:c r="L114" s="74"/>
      <x:c r="M114" s="74"/>
      <x:c r="N114" s="74"/>
      <x:c r="O114" s="74"/>
      <x:c r="P114" s="74"/>
      <x:c r="Q114" s="74"/>
      <x:c r="R114" s="74"/>
      <x:c r="S114" s="74"/>
      <x:c r="T114" s="74"/>
      <x:c r="U114" s="74"/>
      <x:c r="V114" s="74"/>
    </x:row>
    <x:row r="115">
      <x:c r="A115" s="74"/>
      <x:c r="B115" s="74"/>
      <x:c r="C115" s="74"/>
      <x:c r="D115" s="74"/>
      <x:c r="E115" s="74"/>
      <x:c r="F115" s="74"/>
      <x:c r="G115" s="74"/>
      <x:c r="H115" s="74"/>
      <x:c r="I115" s="74"/>
      <x:c r="J115" s="74"/>
      <x:c r="K115" s="74"/>
      <x:c r="L115" s="74"/>
      <x:c r="M115" s="74"/>
      <x:c r="N115" s="74"/>
      <x:c r="O115" s="74"/>
      <x:c r="P115" s="74"/>
      <x:c r="Q115" s="74"/>
      <x:c r="R115" s="74"/>
      <x:c r="S115" s="74"/>
      <x:c r="T115" s="74"/>
      <x:c r="U115" s="74"/>
      <x:c r="V115" s="74"/>
    </x:row>
    <x:row r="116">
      <x:c r="A116" s="74"/>
      <x:c r="B116" s="74"/>
      <x:c r="C116" s="74"/>
      <x:c r="D116" s="74"/>
      <x:c r="E116" s="74"/>
      <x:c r="F116" s="74"/>
      <x:c r="G116" s="74"/>
      <x:c r="H116" s="74"/>
      <x:c r="I116" s="74"/>
      <x:c r="J116" s="74"/>
      <x:c r="K116" s="74"/>
      <x:c r="L116" s="74"/>
      <x:c r="M116" s="74"/>
      <x:c r="N116" s="74"/>
      <x:c r="O116" s="74"/>
      <x:c r="P116" s="74"/>
      <x:c r="Q116" s="74"/>
      <x:c r="R116" s="74"/>
      <x:c r="S116" s="74"/>
      <x:c r="T116" s="74"/>
      <x:c r="U116" s="74"/>
      <x:c r="V116" s="74"/>
    </x:row>
    <x:row r="117">
      <x:c r="A117" s="74"/>
      <x:c r="B117" s="74"/>
      <x:c r="C117" s="74"/>
      <x:c r="D117" s="74"/>
      <x:c r="E117" s="74"/>
      <x:c r="F117" s="74"/>
      <x:c r="G117" s="74"/>
      <x:c r="H117" s="74"/>
      <x:c r="I117" s="74"/>
      <x:c r="J117" s="74"/>
      <x:c r="K117" s="74"/>
      <x:c r="L117" s="74"/>
      <x:c r="M117" s="74"/>
      <x:c r="N117" s="74"/>
      <x:c r="O117" s="74"/>
      <x:c r="P117" s="74"/>
      <x:c r="Q117" s="74"/>
      <x:c r="R117" s="74"/>
      <x:c r="S117" s="74"/>
      <x:c r="T117" s="74"/>
      <x:c r="U117" s="74"/>
      <x:c r="V117" s="74"/>
    </x:row>
    <x:row r="118">
      <x:c r="A118" s="74"/>
      <x:c r="B118" s="74"/>
      <x:c r="C118" s="74"/>
      <x:c r="D118" s="74"/>
      <x:c r="E118" s="74"/>
      <x:c r="F118" s="74"/>
      <x:c r="G118" s="74"/>
      <x:c r="H118" s="74"/>
      <x:c r="I118" s="74"/>
      <x:c r="J118" s="74"/>
      <x:c r="K118" s="74"/>
      <x:c r="L118" s="74"/>
      <x:c r="M118" s="74"/>
      <x:c r="N118" s="74"/>
      <x:c r="O118" s="74"/>
      <x:c r="P118" s="74"/>
      <x:c r="Q118" s="74"/>
      <x:c r="R118" s="74"/>
      <x:c r="S118" s="74"/>
      <x:c r="T118" s="74"/>
      <x:c r="U118" s="74"/>
      <x:c r="V118" s="74"/>
    </x:row>
    <x:row r="119">
      <x:c r="A119" s="74"/>
      <x:c r="B119" s="74"/>
      <x:c r="C119" s="74"/>
      <x:c r="D119" s="74"/>
      <x:c r="E119" s="74"/>
      <x:c r="F119" s="74"/>
      <x:c r="G119" s="74"/>
      <x:c r="H119" s="74"/>
      <x:c r="I119" s="74"/>
      <x:c r="J119" s="74"/>
      <x:c r="K119" s="74"/>
      <x:c r="L119" s="74"/>
      <x:c r="M119" s="74"/>
      <x:c r="N119" s="74"/>
      <x:c r="O119" s="74"/>
      <x:c r="P119" s="74"/>
      <x:c r="Q119" s="74"/>
      <x:c r="R119" s="74"/>
      <x:c r="S119" s="74"/>
      <x:c r="T119" s="74"/>
      <x:c r="U119" s="74"/>
      <x:c r="V119" s="74"/>
    </x:row>
    <x:row r="120">
      <x:c r="A120" s="74"/>
      <x:c r="B120" s="74"/>
      <x:c r="C120" s="74"/>
      <x:c r="D120" s="74"/>
      <x:c r="E120" s="74"/>
      <x:c r="F120" s="74"/>
      <x:c r="G120" s="74"/>
      <x:c r="H120" s="74"/>
      <x:c r="I120" s="74"/>
      <x:c r="J120" s="74"/>
      <x:c r="K120" s="74"/>
      <x:c r="L120" s="74"/>
      <x:c r="M120" s="74"/>
      <x:c r="N120" s="74"/>
      <x:c r="O120" s="74"/>
      <x:c r="P120" s="74"/>
      <x:c r="Q120" s="74"/>
      <x:c r="R120" s="74"/>
      <x:c r="S120" s="74"/>
      <x:c r="T120" s="74"/>
      <x:c r="U120" s="74"/>
      <x:c r="V120" s="74"/>
    </x:row>
    <x:row r="121">
      <x:c r="A121" s="74"/>
      <x:c r="B121" s="74"/>
      <x:c r="C121" s="74"/>
      <x:c r="D121" s="74"/>
      <x:c r="E121" s="74"/>
      <x:c r="F121" s="74"/>
      <x:c r="G121" s="74"/>
      <x:c r="H121" s="74"/>
      <x:c r="I121" s="74"/>
      <x:c r="J121" s="74"/>
      <x:c r="K121" s="74"/>
      <x:c r="L121" s="74"/>
      <x:c r="M121" s="74"/>
      <x:c r="N121" s="74"/>
      <x:c r="O121" s="74"/>
      <x:c r="P121" s="74"/>
      <x:c r="Q121" s="74"/>
      <x:c r="R121" s="74"/>
      <x:c r="S121" s="74"/>
      <x:c r="T121" s="74"/>
      <x:c r="U121" s="74"/>
      <x:c r="V121" s="74"/>
    </x:row>
    <x:row r="122">
      <x:c r="A122" s="74"/>
      <x:c r="B122" s="74"/>
      <x:c r="C122" s="74"/>
      <x:c r="D122" s="74"/>
      <x:c r="E122" s="74"/>
      <x:c r="F122" s="74"/>
      <x:c r="G122" s="74"/>
      <x:c r="H122" s="74"/>
      <x:c r="I122" s="74"/>
      <x:c r="J122" s="74"/>
      <x:c r="K122" s="74"/>
      <x:c r="L122" s="74"/>
      <x:c r="M122" s="74"/>
      <x:c r="N122" s="74"/>
      <x:c r="O122" s="74"/>
      <x:c r="P122" s="74"/>
      <x:c r="Q122" s="74"/>
      <x:c r="R122" s="74"/>
      <x:c r="S122" s="74"/>
      <x:c r="T122" s="74"/>
      <x:c r="U122" s="74"/>
      <x:c r="V122" s="74"/>
    </x:row>
    <x:row r="123">
      <x:c r="A123" s="74"/>
      <x:c r="B123" s="74"/>
      <x:c r="C123" s="74"/>
      <x:c r="D123" s="74"/>
      <x:c r="E123" s="74"/>
      <x:c r="F123" s="74"/>
      <x:c r="G123" s="74"/>
      <x:c r="H123" s="74"/>
      <x:c r="I123" s="74"/>
      <x:c r="J123" s="74"/>
      <x:c r="K123" s="74"/>
      <x:c r="L123" s="74"/>
      <x:c r="M123" s="74"/>
      <x:c r="N123" s="74"/>
      <x:c r="O123" s="74"/>
      <x:c r="P123" s="74"/>
      <x:c r="Q123" s="74"/>
      <x:c r="R123" s="74"/>
      <x:c r="S123" s="74"/>
      <x:c r="T123" s="74"/>
      <x:c r="U123" s="74"/>
      <x:c r="V123" s="74"/>
    </x:row>
    <x:row r="124">
      <x:c r="A124" s="74"/>
      <x:c r="B124" s="74"/>
      <x:c r="C124" s="74"/>
      <x:c r="D124" s="74"/>
      <x:c r="E124" s="74"/>
      <x:c r="F124" s="74"/>
      <x:c r="G124" s="74"/>
      <x:c r="H124" s="74"/>
      <x:c r="I124" s="74"/>
      <x:c r="J124" s="74"/>
      <x:c r="K124" s="74"/>
      <x:c r="L124" s="74"/>
      <x:c r="M124" s="74"/>
      <x:c r="N124" s="74"/>
      <x:c r="O124" s="74"/>
      <x:c r="P124" s="74"/>
      <x:c r="Q124" s="74"/>
      <x:c r="R124" s="74"/>
      <x:c r="S124" s="74"/>
      <x:c r="T124" s="74"/>
      <x:c r="U124" s="74"/>
      <x:c r="V124" s="74"/>
    </x:row>
    <x:row r="125">
      <x:c r="A125" s="74"/>
      <x:c r="B125" s="74"/>
      <x:c r="C125" s="74"/>
      <x:c r="D125" s="74"/>
      <x:c r="E125" s="74"/>
      <x:c r="F125" s="74"/>
      <x:c r="G125" s="74"/>
      <x:c r="H125" s="74"/>
      <x:c r="I125" s="74"/>
      <x:c r="J125" s="74"/>
      <x:c r="K125" s="74"/>
      <x:c r="L125" s="74"/>
      <x:c r="M125" s="74"/>
      <x:c r="N125" s="74"/>
      <x:c r="O125" s="74"/>
      <x:c r="P125" s="74"/>
      <x:c r="Q125" s="74"/>
      <x:c r="R125" s="74"/>
      <x:c r="S125" s="74"/>
      <x:c r="T125" s="74"/>
      <x:c r="U125" s="74"/>
      <x:c r="V125" s="74"/>
    </x:row>
    <x:row r="126">
      <x:c r="A126" s="74"/>
      <x:c r="B126" s="74"/>
      <x:c r="C126" s="74"/>
      <x:c r="D126" s="74"/>
      <x:c r="E126" s="74"/>
      <x:c r="F126" s="74"/>
      <x:c r="G126" s="74"/>
      <x:c r="H126" s="74"/>
      <x:c r="I126" s="74"/>
      <x:c r="J126" s="74"/>
      <x:c r="K126" s="74"/>
      <x:c r="L126" s="74"/>
      <x:c r="M126" s="74"/>
      <x:c r="N126" s="74"/>
      <x:c r="O126" s="74"/>
      <x:c r="P126" s="74"/>
      <x:c r="Q126" s="74"/>
      <x:c r="R126" s="74"/>
      <x:c r="S126" s="74"/>
      <x:c r="T126" s="74"/>
      <x:c r="U126" s="74"/>
      <x:c r="V126" s="74"/>
    </x:row>
    <x:row r="127">
      <x:c r="A127" s="74"/>
      <x:c r="B127" s="74"/>
      <x:c r="C127" s="74"/>
      <x:c r="D127" s="74"/>
      <x:c r="E127" s="74"/>
      <x:c r="F127" s="74"/>
      <x:c r="G127" s="74"/>
      <x:c r="H127" s="74"/>
      <x:c r="I127" s="74"/>
      <x:c r="J127" s="74"/>
      <x:c r="K127" s="74"/>
      <x:c r="L127" s="74"/>
      <x:c r="M127" s="74"/>
      <x:c r="N127" s="74"/>
      <x:c r="O127" s="74"/>
      <x:c r="P127" s="74"/>
      <x:c r="Q127" s="74"/>
      <x:c r="R127" s="74"/>
      <x:c r="S127" s="74"/>
      <x:c r="T127" s="74"/>
      <x:c r="U127" s="74"/>
      <x:c r="V127" s="74"/>
    </x:row>
    <x:row r="128">
      <x:c r="A128" s="74"/>
      <x:c r="B128" s="74"/>
      <x:c r="C128" s="74"/>
      <x:c r="D128" s="74"/>
      <x:c r="E128" s="74"/>
      <x:c r="F128" s="74"/>
      <x:c r="G128" s="74"/>
      <x:c r="H128" s="74"/>
      <x:c r="I128" s="74"/>
      <x:c r="J128" s="74"/>
      <x:c r="K128" s="74"/>
      <x:c r="L128" s="74"/>
      <x:c r="M128" s="74"/>
      <x:c r="N128" s="74"/>
      <x:c r="O128" s="74"/>
      <x:c r="P128" s="74"/>
      <x:c r="Q128" s="74"/>
      <x:c r="R128" s="74"/>
      <x:c r="S128" s="74"/>
      <x:c r="T128" s="74"/>
      <x:c r="U128" s="74"/>
      <x:c r="V128" s="74"/>
    </x:row>
    <x:row r="129">
      <x:c r="A129" s="74"/>
      <x:c r="B129" s="74"/>
      <x:c r="C129" s="74"/>
      <x:c r="D129" s="74"/>
      <x:c r="E129" s="74"/>
      <x:c r="F129" s="74"/>
      <x:c r="G129" s="74"/>
      <x:c r="H129" s="74"/>
      <x:c r="I129" s="74"/>
      <x:c r="J129" s="74"/>
      <x:c r="K129" s="74"/>
      <x:c r="L129" s="74"/>
      <x:c r="M129" s="74"/>
      <x:c r="N129" s="74"/>
      <x:c r="O129" s="74"/>
      <x:c r="P129" s="74"/>
      <x:c r="Q129" s="74"/>
      <x:c r="R129" s="74"/>
      <x:c r="S129" s="74"/>
      <x:c r="T129" s="74"/>
      <x:c r="U129" s="74"/>
      <x:c r="V129" s="74"/>
    </x:row>
    <x:row r="130">
      <x:c r="A130" s="74"/>
      <x:c r="B130" s="74"/>
      <x:c r="C130" s="74"/>
      <x:c r="D130" s="74"/>
      <x:c r="E130" s="74"/>
      <x:c r="F130" s="74"/>
      <x:c r="G130" s="74"/>
      <x:c r="H130" s="74"/>
      <x:c r="I130" s="74"/>
      <x:c r="J130" s="74"/>
      <x:c r="K130" s="74"/>
      <x:c r="L130" s="74"/>
      <x:c r="M130" s="74"/>
      <x:c r="N130" s="74"/>
      <x:c r="O130" s="74"/>
      <x:c r="P130" s="74"/>
      <x:c r="Q130" s="74"/>
      <x:c r="R130" s="74"/>
      <x:c r="S130" s="74"/>
      <x:c r="T130" s="74"/>
      <x:c r="U130" s="74"/>
      <x:c r="V130" s="74"/>
    </x:row>
    <x:row r="131">
      <x:c r="A131" s="74"/>
      <x:c r="B131" s="74"/>
      <x:c r="C131" s="74"/>
      <x:c r="D131" s="74"/>
      <x:c r="E131" s="74"/>
      <x:c r="F131" s="74"/>
      <x:c r="G131" s="74"/>
      <x:c r="H131" s="74"/>
      <x:c r="I131" s="74"/>
      <x:c r="J131" s="74"/>
      <x:c r="K131" s="74"/>
      <x:c r="L131" s="74"/>
      <x:c r="M131" s="74"/>
      <x:c r="N131" s="74"/>
      <x:c r="O131" s="74"/>
      <x:c r="P131" s="74"/>
      <x:c r="Q131" s="74"/>
      <x:c r="R131" s="74"/>
      <x:c r="S131" s="74"/>
      <x:c r="T131" s="74"/>
      <x:c r="U131" s="74"/>
      <x:c r="V131" s="74"/>
    </x:row>
    <x:row r="132">
      <x:c r="A132" s="74"/>
      <x:c r="B132" s="74"/>
      <x:c r="C132" s="74"/>
      <x:c r="D132" s="74"/>
      <x:c r="E132" s="74"/>
      <x:c r="F132" s="74"/>
      <x:c r="G132" s="74"/>
      <x:c r="H132" s="74"/>
      <x:c r="I132" s="74"/>
      <x:c r="J132" s="74"/>
      <x:c r="K132" s="74"/>
      <x:c r="L132" s="74"/>
      <x:c r="M132" s="74"/>
      <x:c r="N132" s="74"/>
      <x:c r="O132" s="74"/>
      <x:c r="P132" s="74"/>
      <x:c r="Q132" s="74"/>
      <x:c r="R132" s="74"/>
      <x:c r="S132" s="74"/>
      <x:c r="T132" s="74"/>
      <x:c r="U132" s="74"/>
      <x:c r="V132" s="74"/>
    </x:row>
    <x:row r="133">
      <x:c r="A133" s="74"/>
      <x:c r="B133" s="74"/>
      <x:c r="C133" s="74"/>
      <x:c r="D133" s="74"/>
      <x:c r="E133" s="74"/>
      <x:c r="F133" s="74"/>
      <x:c r="G133" s="74"/>
      <x:c r="H133" s="74"/>
      <x:c r="I133" s="74"/>
      <x:c r="J133" s="74"/>
      <x:c r="K133" s="74"/>
      <x:c r="L133" s="74"/>
      <x:c r="M133" s="74"/>
      <x:c r="N133" s="74"/>
      <x:c r="O133" s="74"/>
      <x:c r="P133" s="74"/>
      <x:c r="Q133" s="74"/>
      <x:c r="R133" s="74"/>
      <x:c r="S133" s="74"/>
      <x:c r="T133" s="74"/>
      <x:c r="U133" s="74"/>
      <x:c r="V133" s="74"/>
    </x:row>
    <x:row r="134">
      <x:c r="A134" s="74"/>
      <x:c r="B134" s="74"/>
      <x:c r="C134" s="74"/>
      <x:c r="D134" s="74"/>
      <x:c r="E134" s="74"/>
      <x:c r="F134" s="74"/>
      <x:c r="G134" s="74"/>
      <x:c r="H134" s="74"/>
      <x:c r="I134" s="74"/>
      <x:c r="J134" s="74"/>
      <x:c r="K134" s="74"/>
      <x:c r="L134" s="74"/>
      <x:c r="M134" s="74"/>
      <x:c r="N134" s="74"/>
      <x:c r="O134" s="74"/>
      <x:c r="P134" s="74"/>
      <x:c r="Q134" s="74"/>
      <x:c r="R134" s="74"/>
      <x:c r="S134" s="74"/>
      <x:c r="T134" s="74"/>
      <x:c r="U134" s="74"/>
      <x:c r="V134" s="74"/>
    </x:row>
    <x:row r="135">
      <x:c r="A135" s="74"/>
      <x:c r="B135" s="74"/>
      <x:c r="C135" s="74"/>
      <x:c r="D135" s="74"/>
      <x:c r="E135" s="74"/>
      <x:c r="F135" s="74"/>
      <x:c r="G135" s="74"/>
      <x:c r="H135" s="74"/>
      <x:c r="I135" s="74"/>
      <x:c r="J135" s="74"/>
      <x:c r="K135" s="74"/>
      <x:c r="L135" s="74"/>
      <x:c r="M135" s="74"/>
      <x:c r="N135" s="74"/>
      <x:c r="O135" s="74"/>
      <x:c r="P135" s="74"/>
      <x:c r="Q135" s="74"/>
      <x:c r="R135" s="74"/>
      <x:c r="S135" s="74"/>
      <x:c r="T135" s="74"/>
      <x:c r="U135" s="74"/>
      <x:c r="V135" s="74"/>
    </x:row>
    <x:row r="136">
      <x:c r="A136" s="74"/>
      <x:c r="B136" s="74"/>
      <x:c r="C136" s="74"/>
      <x:c r="D136" s="74"/>
      <x:c r="E136" s="74"/>
      <x:c r="F136" s="74"/>
      <x:c r="G136" s="74"/>
      <x:c r="H136" s="74"/>
      <x:c r="I136" s="74"/>
      <x:c r="J136" s="74"/>
      <x:c r="K136" s="74"/>
      <x:c r="L136" s="74"/>
      <x:c r="M136" s="74"/>
      <x:c r="N136" s="74"/>
      <x:c r="O136" s="74"/>
      <x:c r="P136" s="74"/>
      <x:c r="Q136" s="74"/>
      <x:c r="R136" s="74"/>
      <x:c r="S136" s="74"/>
      <x:c r="T136" s="74"/>
      <x:c r="U136" s="74"/>
      <x:c r="V136" s="74"/>
    </x:row>
    <x:row r="137">
      <x:c r="A137" s="74"/>
      <x:c r="B137" s="74"/>
      <x:c r="C137" s="74"/>
      <x:c r="D137" s="74"/>
      <x:c r="E137" s="74"/>
      <x:c r="F137" s="74"/>
      <x:c r="G137" s="74"/>
      <x:c r="H137" s="74"/>
      <x:c r="I137" s="74"/>
      <x:c r="J137" s="74"/>
      <x:c r="K137" s="74"/>
      <x:c r="L137" s="74"/>
      <x:c r="M137" s="74"/>
      <x:c r="N137" s="74"/>
      <x:c r="O137" s="74"/>
      <x:c r="P137" s="74"/>
      <x:c r="Q137" s="74"/>
      <x:c r="R137" s="74"/>
      <x:c r="S137" s="74"/>
      <x:c r="T137" s="74"/>
      <x:c r="U137" s="74"/>
      <x:c r="V137" s="74"/>
    </x:row>
    <x:row r="138">
      <x:c r="A138" s="74"/>
      <x:c r="B138" s="74"/>
      <x:c r="C138" s="74"/>
      <x:c r="D138" s="74"/>
      <x:c r="E138" s="74"/>
      <x:c r="F138" s="74"/>
      <x:c r="G138" s="74"/>
      <x:c r="H138" s="74"/>
      <x:c r="I138" s="74"/>
      <x:c r="J138" s="74"/>
      <x:c r="K138" s="74"/>
      <x:c r="L138" s="74"/>
      <x:c r="M138" s="74"/>
      <x:c r="N138" s="74"/>
      <x:c r="O138" s="74"/>
      <x:c r="P138" s="74"/>
      <x:c r="Q138" s="74"/>
      <x:c r="R138" s="74"/>
      <x:c r="S138" s="74"/>
      <x:c r="T138" s="74"/>
      <x:c r="U138" s="74"/>
      <x:c r="V138" s="74"/>
    </x:row>
    <x:row r="139">
      <x:c r="A139" s="74"/>
      <x:c r="B139" s="74"/>
      <x:c r="C139" s="74"/>
      <x:c r="D139" s="74"/>
      <x:c r="E139" s="74"/>
      <x:c r="F139" s="74"/>
      <x:c r="G139" s="74"/>
      <x:c r="H139" s="74"/>
      <x:c r="I139" s="74"/>
      <x:c r="J139" s="74"/>
      <x:c r="K139" s="74"/>
      <x:c r="L139" s="74"/>
      <x:c r="M139" s="74"/>
      <x:c r="N139" s="74"/>
      <x:c r="O139" s="74"/>
      <x:c r="P139" s="74"/>
      <x:c r="Q139" s="74"/>
      <x:c r="R139" s="74"/>
      <x:c r="S139" s="74"/>
      <x:c r="T139" s="74"/>
      <x:c r="U139" s="74"/>
      <x:c r="V139" s="74"/>
    </x:row>
    <x:row r="140">
      <x:c r="A140" s="74"/>
      <x:c r="B140" s="74"/>
      <x:c r="C140" s="74"/>
      <x:c r="D140" s="74"/>
      <x:c r="E140" s="74"/>
      <x:c r="F140" s="74"/>
      <x:c r="G140" s="74"/>
      <x:c r="H140" s="74"/>
      <x:c r="I140" s="74"/>
      <x:c r="J140" s="74"/>
      <x:c r="K140" s="74"/>
      <x:c r="L140" s="74"/>
      <x:c r="M140" s="74"/>
      <x:c r="N140" s="74"/>
      <x:c r="O140" s="74"/>
      <x:c r="P140" s="74"/>
      <x:c r="Q140" s="74"/>
      <x:c r="R140" s="74"/>
      <x:c r="S140" s="74"/>
      <x:c r="T140" s="74"/>
      <x:c r="U140" s="74"/>
      <x:c r="V140" s="74"/>
    </x:row>
    <x:row r="141">
      <x:c r="A141" s="74"/>
      <x:c r="B141" s="74"/>
      <x:c r="C141" s="74"/>
      <x:c r="D141" s="74"/>
      <x:c r="E141" s="74"/>
      <x:c r="F141" s="74"/>
      <x:c r="G141" s="74"/>
      <x:c r="H141" s="74"/>
      <x:c r="I141" s="74"/>
      <x:c r="J141" s="74"/>
      <x:c r="K141" s="74"/>
      <x:c r="L141" s="74"/>
      <x:c r="M141" s="74"/>
      <x:c r="N141" s="74"/>
      <x:c r="O141" s="74"/>
      <x:c r="P141" s="74"/>
      <x:c r="Q141" s="74"/>
      <x:c r="R141" s="74"/>
      <x:c r="S141" s="74"/>
      <x:c r="T141" s="74"/>
      <x:c r="U141" s="74"/>
      <x:c r="V141" s="74"/>
    </x:row>
    <x:row r="142">
      <x:c r="A142" s="74"/>
      <x:c r="B142" s="74"/>
      <x:c r="C142" s="74"/>
      <x:c r="D142" s="74"/>
      <x:c r="E142" s="74"/>
      <x:c r="F142" s="74"/>
      <x:c r="G142" s="74"/>
      <x:c r="H142" s="74"/>
      <x:c r="I142" s="74"/>
      <x:c r="J142" s="74"/>
      <x:c r="K142" s="74"/>
      <x:c r="L142" s="74"/>
      <x:c r="M142" s="74"/>
      <x:c r="N142" s="74"/>
      <x:c r="O142" s="74"/>
      <x:c r="P142" s="74"/>
      <x:c r="Q142" s="74"/>
      <x:c r="R142" s="74"/>
      <x:c r="S142" s="74"/>
      <x:c r="T142" s="74"/>
      <x:c r="U142" s="74"/>
      <x:c r="V142" s="74"/>
    </x:row>
    <x:row r="143">
      <x:c r="A143" s="74"/>
      <x:c r="B143" s="74"/>
      <x:c r="C143" s="74"/>
      <x:c r="D143" s="74"/>
      <x:c r="E143" s="74"/>
      <x:c r="F143" s="74"/>
      <x:c r="G143" s="74"/>
      <x:c r="H143" s="74"/>
      <x:c r="I143" s="74"/>
      <x:c r="J143" s="74"/>
      <x:c r="K143" s="74"/>
      <x:c r="L143" s="74"/>
      <x:c r="M143" s="74"/>
      <x:c r="N143" s="74"/>
      <x:c r="O143" s="74"/>
      <x:c r="P143" s="74"/>
      <x:c r="Q143" s="74"/>
      <x:c r="R143" s="74"/>
      <x:c r="S143" s="74"/>
      <x:c r="T143" s="74"/>
      <x:c r="U143" s="74"/>
      <x:c r="V143" s="74"/>
    </x:row>
    <x:row r="144">
      <x:c r="A144" s="74"/>
      <x:c r="B144" s="74"/>
      <x:c r="C144" s="74"/>
      <x:c r="D144" s="74"/>
      <x:c r="E144" s="74"/>
      <x:c r="F144" s="74"/>
      <x:c r="G144" s="74"/>
      <x:c r="H144" s="74"/>
      <x:c r="I144" s="74"/>
      <x:c r="J144" s="74"/>
      <x:c r="K144" s="74"/>
      <x:c r="L144" s="74"/>
      <x:c r="M144" s="74"/>
      <x:c r="N144" s="74"/>
      <x:c r="O144" s="74"/>
      <x:c r="P144" s="74"/>
      <x:c r="Q144" s="74"/>
      <x:c r="R144" s="74"/>
      <x:c r="S144" s="74"/>
      <x:c r="T144" s="74"/>
      <x:c r="U144" s="74"/>
      <x:c r="V144" s="74"/>
    </x:row>
    <x:row r="145">
      <x:c r="A145" s="74"/>
      <x:c r="B145" s="74"/>
      <x:c r="C145" s="74"/>
      <x:c r="D145" s="74"/>
      <x:c r="E145" s="74"/>
      <x:c r="F145" s="74"/>
      <x:c r="G145" s="74"/>
      <x:c r="H145" s="74"/>
      <x:c r="I145" s="74"/>
      <x:c r="J145" s="74"/>
      <x:c r="K145" s="74"/>
      <x:c r="L145" s="74"/>
      <x:c r="M145" s="74"/>
      <x:c r="N145" s="74"/>
      <x:c r="O145" s="74"/>
      <x:c r="P145" s="74"/>
      <x:c r="Q145" s="74"/>
      <x:c r="R145" s="74"/>
      <x:c r="S145" s="74"/>
      <x:c r="T145" s="74"/>
      <x:c r="U145" s="74"/>
      <x:c r="V145" s="74"/>
    </x:row>
    <x:row r="146">
      <x:c r="A146" s="74"/>
      <x:c r="B146" s="74"/>
      <x:c r="C146" s="74"/>
      <x:c r="D146" s="74"/>
      <x:c r="E146" s="74"/>
      <x:c r="F146" s="74"/>
      <x:c r="G146" s="74"/>
      <x:c r="H146" s="74"/>
      <x:c r="I146" s="74"/>
      <x:c r="J146" s="74"/>
      <x:c r="K146" s="74"/>
      <x:c r="L146" s="74"/>
      <x:c r="M146" s="74"/>
      <x:c r="N146" s="74"/>
      <x:c r="O146" s="74"/>
      <x:c r="P146" s="74"/>
      <x:c r="Q146" s="74"/>
      <x:c r="R146" s="74"/>
      <x:c r="S146" s="74"/>
      <x:c r="T146" s="74"/>
      <x:c r="U146" s="74"/>
      <x:c r="V146" s="74"/>
    </x:row>
    <x:row r="147">
      <x:c r="A147" s="74"/>
      <x:c r="B147" s="74"/>
      <x:c r="C147" s="74"/>
      <x:c r="D147" s="74"/>
      <x:c r="E147" s="74"/>
      <x:c r="F147" s="74"/>
      <x:c r="G147" s="74"/>
      <x:c r="H147" s="74"/>
      <x:c r="I147" s="74"/>
      <x:c r="J147" s="74"/>
      <x:c r="K147" s="74"/>
      <x:c r="L147" s="74"/>
      <x:c r="M147" s="74"/>
      <x:c r="N147" s="74"/>
      <x:c r="O147" s="74"/>
      <x:c r="P147" s="74"/>
      <x:c r="Q147" s="74"/>
      <x:c r="R147" s="74"/>
      <x:c r="S147" s="74"/>
      <x:c r="T147" s="74"/>
      <x:c r="U147" s="74"/>
      <x:c r="V147" s="74"/>
    </x:row>
    <x:row r="148">
      <x:c r="A148" s="74"/>
      <x:c r="B148" s="74"/>
      <x:c r="C148" s="74"/>
      <x:c r="D148" s="74"/>
      <x:c r="E148" s="74"/>
      <x:c r="F148" s="74"/>
      <x:c r="G148" s="74"/>
      <x:c r="H148" s="74"/>
      <x:c r="I148" s="74"/>
      <x:c r="J148" s="74"/>
      <x:c r="K148" s="74"/>
      <x:c r="L148" s="74"/>
      <x:c r="M148" s="74"/>
      <x:c r="N148" s="74"/>
      <x:c r="O148" s="74"/>
      <x:c r="P148" s="74"/>
      <x:c r="Q148" s="74"/>
      <x:c r="R148" s="74"/>
      <x:c r="S148" s="74"/>
      <x:c r="T148" s="74"/>
      <x:c r="U148" s="74"/>
      <x:c r="V148" s="74"/>
    </x:row>
    <x:row r="149">
      <x:c r="A149" s="74"/>
      <x:c r="B149" s="74"/>
      <x:c r="C149" s="74"/>
      <x:c r="D149" s="74"/>
      <x:c r="E149" s="74"/>
      <x:c r="F149" s="74"/>
      <x:c r="G149" s="74"/>
      <x:c r="H149" s="74"/>
      <x:c r="I149" s="74"/>
      <x:c r="J149" s="74"/>
      <x:c r="K149" s="74"/>
      <x:c r="L149" s="74"/>
      <x:c r="M149" s="74"/>
      <x:c r="N149" s="74"/>
      <x:c r="O149" s="74"/>
      <x:c r="P149" s="74"/>
      <x:c r="Q149" s="74"/>
      <x:c r="R149" s="74"/>
      <x:c r="S149" s="74"/>
      <x:c r="T149" s="74"/>
      <x:c r="U149" s="74"/>
      <x:c r="V149" s="74"/>
    </x:row>
    <x:row r="150">
      <x:c r="A150" s="74"/>
      <x:c r="B150" s="74"/>
      <x:c r="C150" s="74"/>
      <x:c r="D150" s="74"/>
      <x:c r="E150" s="74"/>
      <x:c r="F150" s="74"/>
      <x:c r="G150" s="74"/>
      <x:c r="H150" s="74"/>
      <x:c r="I150" s="74"/>
      <x:c r="J150" s="74"/>
      <x:c r="K150" s="74"/>
      <x:c r="L150" s="74"/>
      <x:c r="M150" s="74"/>
      <x:c r="N150" s="74"/>
      <x:c r="O150" s="74"/>
      <x:c r="P150" s="74"/>
      <x:c r="Q150" s="74"/>
      <x:c r="R150" s="74"/>
      <x:c r="S150" s="74"/>
      <x:c r="T150" s="74"/>
      <x:c r="U150" s="74"/>
      <x:c r="V150" s="74"/>
    </x:row>
    <x:row r="151">
      <x:c r="A151" s="74"/>
      <x:c r="B151" s="74"/>
      <x:c r="C151" s="74"/>
      <x:c r="D151" s="74"/>
      <x:c r="E151" s="74"/>
      <x:c r="F151" s="74"/>
      <x:c r="G151" s="74"/>
      <x:c r="H151" s="74"/>
      <x:c r="I151" s="74"/>
      <x:c r="J151" s="74"/>
      <x:c r="K151" s="74"/>
      <x:c r="L151" s="74"/>
      <x:c r="M151" s="74"/>
      <x:c r="N151" s="74"/>
      <x:c r="O151" s="74"/>
      <x:c r="P151" s="74"/>
      <x:c r="Q151" s="74"/>
      <x:c r="R151" s="74"/>
      <x:c r="S151" s="74"/>
      <x:c r="T151" s="74"/>
      <x:c r="U151" s="74"/>
      <x:c r="V151" s="74"/>
    </x:row>
    <x:row r="152">
      <x:c r="A152" s="74"/>
      <x:c r="B152" s="74"/>
      <x:c r="C152" s="74"/>
      <x:c r="D152" s="74"/>
      <x:c r="E152" s="74"/>
      <x:c r="F152" s="74"/>
      <x:c r="G152" s="74"/>
      <x:c r="H152" s="74"/>
      <x:c r="I152" s="74"/>
      <x:c r="J152" s="74"/>
      <x:c r="K152" s="74"/>
      <x:c r="L152" s="74"/>
      <x:c r="M152" s="74"/>
      <x:c r="N152" s="74"/>
      <x:c r="O152" s="74"/>
      <x:c r="P152" s="74"/>
      <x:c r="Q152" s="74"/>
      <x:c r="R152" s="74"/>
      <x:c r="S152" s="74"/>
      <x:c r="T152" s="74"/>
      <x:c r="U152" s="74"/>
      <x:c r="V152" s="74"/>
    </x:row>
    <x:row r="153">
      <x:c r="A153" s="74"/>
      <x:c r="B153" s="74"/>
      <x:c r="C153" s="74"/>
      <x:c r="D153" s="74"/>
      <x:c r="E153" s="74"/>
      <x:c r="F153" s="74"/>
      <x:c r="G153" s="74"/>
      <x:c r="H153" s="74"/>
      <x:c r="I153" s="74"/>
      <x:c r="J153" s="74"/>
      <x:c r="K153" s="74"/>
      <x:c r="L153" s="74"/>
      <x:c r="M153" s="74"/>
      <x:c r="N153" s="74"/>
      <x:c r="O153" s="74"/>
      <x:c r="P153" s="74"/>
      <x:c r="Q153" s="74"/>
      <x:c r="R153" s="74"/>
      <x:c r="S153" s="74"/>
      <x:c r="T153" s="74"/>
      <x:c r="U153" s="74"/>
      <x:c r="V153" s="74"/>
    </x:row>
    <x:row r="154">
      <x:c r="A154" s="74"/>
      <x:c r="B154" s="74"/>
      <x:c r="C154" s="74"/>
      <x:c r="D154" s="74"/>
      <x:c r="E154" s="74"/>
      <x:c r="F154" s="74"/>
      <x:c r="G154" s="74"/>
      <x:c r="H154" s="74"/>
      <x:c r="I154" s="74"/>
      <x:c r="J154" s="74"/>
      <x:c r="K154" s="74"/>
      <x:c r="L154" s="74"/>
      <x:c r="M154" s="74"/>
      <x:c r="N154" s="74"/>
      <x:c r="O154" s="74"/>
      <x:c r="P154" s="74"/>
      <x:c r="Q154" s="74"/>
      <x:c r="R154" s="74"/>
      <x:c r="S154" s="74"/>
      <x:c r="T154" s="74"/>
      <x:c r="U154" s="74"/>
      <x:c r="V154" s="74"/>
    </x:row>
    <x:row r="155">
      <x:c r="A155" s="74"/>
      <x:c r="B155" s="74"/>
      <x:c r="C155" s="74"/>
      <x:c r="D155" s="74"/>
      <x:c r="E155" s="74"/>
      <x:c r="F155" s="74"/>
      <x:c r="G155" s="74"/>
      <x:c r="H155" s="74"/>
      <x:c r="I155" s="74"/>
      <x:c r="J155" s="74"/>
      <x:c r="K155" s="74"/>
      <x:c r="L155" s="74"/>
      <x:c r="M155" s="74"/>
      <x:c r="N155" s="74"/>
      <x:c r="O155" s="74"/>
      <x:c r="P155" s="74"/>
      <x:c r="Q155" s="74"/>
      <x:c r="R155" s="74"/>
      <x:c r="S155" s="74"/>
      <x:c r="T155" s="74"/>
      <x:c r="U155" s="74"/>
      <x:c r="V155" s="74"/>
    </x:row>
    <x:row r="156">
      <x:c r="A156" s="74"/>
      <x:c r="B156" s="74"/>
      <x:c r="C156" s="74"/>
      <x:c r="D156" s="74"/>
      <x:c r="E156" s="74"/>
      <x:c r="F156" s="74"/>
      <x:c r="G156" s="74"/>
      <x:c r="H156" s="74"/>
      <x:c r="I156" s="74"/>
      <x:c r="J156" s="74"/>
      <x:c r="K156" s="74"/>
      <x:c r="L156" s="74"/>
      <x:c r="M156" s="74"/>
      <x:c r="N156" s="74"/>
      <x:c r="O156" s="74"/>
      <x:c r="P156" s="74"/>
      <x:c r="Q156" s="74"/>
      <x:c r="R156" s="74"/>
      <x:c r="S156" s="74"/>
      <x:c r="T156" s="74"/>
      <x:c r="U156" s="74"/>
      <x:c r="V156" s="74"/>
    </x:row>
    <x:row r="157">
      <x:c r="A157" s="74"/>
      <x:c r="B157" s="74"/>
      <x:c r="C157" s="74"/>
      <x:c r="D157" s="74"/>
      <x:c r="E157" s="74"/>
      <x:c r="F157" s="74"/>
      <x:c r="G157" s="74"/>
      <x:c r="H157" s="74"/>
      <x:c r="I157" s="74"/>
      <x:c r="J157" s="74"/>
      <x:c r="K157" s="74"/>
      <x:c r="L157" s="74"/>
      <x:c r="M157" s="74"/>
      <x:c r="N157" s="74"/>
      <x:c r="O157" s="74"/>
      <x:c r="P157" s="74"/>
      <x:c r="Q157" s="74"/>
      <x:c r="R157" s="74"/>
      <x:c r="S157" s="74"/>
      <x:c r="T157" s="74"/>
      <x:c r="U157" s="74"/>
      <x:c r="V157" s="74"/>
    </x:row>
    <x:row r="158">
      <x:c r="A158" s="74"/>
      <x:c r="B158" s="74"/>
      <x:c r="C158" s="74"/>
      <x:c r="D158" s="74"/>
      <x:c r="E158" s="74"/>
      <x:c r="F158" s="74"/>
      <x:c r="G158" s="74"/>
      <x:c r="H158" s="74"/>
      <x:c r="I158" s="74"/>
      <x:c r="J158" s="74"/>
      <x:c r="K158" s="74"/>
      <x:c r="L158" s="74"/>
      <x:c r="M158" s="74"/>
      <x:c r="N158" s="74"/>
      <x:c r="O158" s="74"/>
      <x:c r="P158" s="74"/>
      <x:c r="Q158" s="74"/>
      <x:c r="R158" s="74"/>
      <x:c r="S158" s="74"/>
      <x:c r="T158" s="74"/>
      <x:c r="U158" s="74"/>
      <x:c r="V158" s="74"/>
    </x:row>
    <x:row r="159">
      <x:c r="A159" s="74"/>
      <x:c r="B159" s="74"/>
      <x:c r="C159" s="74"/>
      <x:c r="D159" s="74"/>
      <x:c r="E159" s="74"/>
      <x:c r="F159" s="74"/>
      <x:c r="G159" s="74"/>
      <x:c r="H159" s="74"/>
      <x:c r="I159" s="74"/>
      <x:c r="J159" s="74"/>
      <x:c r="K159" s="74"/>
      <x:c r="L159" s="74"/>
      <x:c r="M159" s="74"/>
      <x:c r="N159" s="74"/>
      <x:c r="O159" s="74"/>
      <x:c r="P159" s="74"/>
      <x:c r="Q159" s="74"/>
      <x:c r="R159" s="74"/>
      <x:c r="S159" s="74"/>
      <x:c r="T159" s="74"/>
      <x:c r="U159" s="74"/>
      <x:c r="V159" s="74"/>
    </x:row>
    <x:row r="160">
      <x:c r="A160" s="74"/>
      <x:c r="B160" s="74"/>
      <x:c r="C160" s="74"/>
      <x:c r="D160" s="74"/>
      <x:c r="E160" s="74"/>
      <x:c r="F160" s="74"/>
      <x:c r="G160" s="74"/>
      <x:c r="H160" s="74"/>
      <x:c r="I160" s="74"/>
      <x:c r="J160" s="74"/>
      <x:c r="K160" s="74"/>
      <x:c r="L160" s="74"/>
      <x:c r="M160" s="74"/>
      <x:c r="N160" s="74"/>
      <x:c r="O160" s="74"/>
      <x:c r="P160" s="74"/>
      <x:c r="Q160" s="74"/>
      <x:c r="R160" s="74"/>
      <x:c r="S160" s="74"/>
      <x:c r="T160" s="74"/>
      <x:c r="U160" s="74"/>
      <x:c r="V160" s="74"/>
    </x:row>
    <x:row r="161">
      <x:c r="A161" s="74"/>
      <x:c r="B161" s="74"/>
      <x:c r="C161" s="74"/>
      <x:c r="D161" s="74"/>
      <x:c r="E161" s="74"/>
      <x:c r="F161" s="74"/>
      <x:c r="G161" s="74"/>
      <x:c r="H161" s="74"/>
      <x:c r="I161" s="74"/>
      <x:c r="J161" s="74"/>
      <x:c r="K161" s="74"/>
      <x:c r="L161" s="74"/>
      <x:c r="M161" s="74"/>
      <x:c r="N161" s="74"/>
      <x:c r="O161" s="74"/>
      <x:c r="P161" s="74"/>
      <x:c r="Q161" s="74"/>
      <x:c r="R161" s="74"/>
      <x:c r="S161" s="74"/>
      <x:c r="T161" s="74"/>
      <x:c r="U161" s="74"/>
      <x:c r="V161" s="74"/>
    </x:row>
    <x:row r="162">
      <x:c r="A162" s="74"/>
      <x:c r="B162" s="74"/>
      <x:c r="C162" s="74"/>
      <x:c r="D162" s="74"/>
      <x:c r="E162" s="74"/>
      <x:c r="F162" s="74"/>
      <x:c r="G162" s="74"/>
      <x:c r="H162" s="74"/>
      <x:c r="I162" s="74"/>
      <x:c r="J162" s="74"/>
      <x:c r="K162" s="74"/>
      <x:c r="L162" s="74"/>
      <x:c r="M162" s="74"/>
      <x:c r="N162" s="74"/>
      <x:c r="O162" s="74"/>
      <x:c r="P162" s="74"/>
      <x:c r="Q162" s="74"/>
      <x:c r="R162" s="74"/>
      <x:c r="S162" s="74"/>
      <x:c r="T162" s="74"/>
      <x:c r="U162" s="74"/>
      <x:c r="V162" s="74"/>
    </x:row>
    <x:row r="163">
      <x:c r="A163" s="74"/>
      <x:c r="B163" s="74"/>
      <x:c r="C163" s="74"/>
      <x:c r="D163" s="74"/>
      <x:c r="E163" s="74"/>
      <x:c r="F163" s="74"/>
      <x:c r="G163" s="74"/>
      <x:c r="H163" s="74"/>
      <x:c r="I163" s="74"/>
      <x:c r="J163" s="74"/>
      <x:c r="K163" s="74"/>
      <x:c r="L163" s="74"/>
      <x:c r="M163" s="74"/>
      <x:c r="N163" s="74"/>
      <x:c r="O163" s="74"/>
      <x:c r="P163" s="74"/>
      <x:c r="Q163" s="74"/>
      <x:c r="R163" s="74"/>
      <x:c r="S163" s="74"/>
      <x:c r="T163" s="74"/>
      <x:c r="U163" s="74"/>
      <x:c r="V163" s="74"/>
    </x:row>
    <x:row r="164">
      <x:c r="A164" s="74"/>
      <x:c r="B164" s="74"/>
      <x:c r="C164" s="74"/>
      <x:c r="D164" s="74"/>
      <x:c r="E164" s="74"/>
      <x:c r="F164" s="74"/>
      <x:c r="G164" s="74"/>
      <x:c r="H164" s="74"/>
      <x:c r="I164" s="74"/>
      <x:c r="J164" s="74"/>
      <x:c r="K164" s="74"/>
      <x:c r="L164" s="74"/>
      <x:c r="M164" s="74"/>
      <x:c r="N164" s="74"/>
      <x:c r="O164" s="74"/>
      <x:c r="P164" s="74"/>
      <x:c r="Q164" s="74"/>
      <x:c r="R164" s="74"/>
      <x:c r="S164" s="74"/>
      <x:c r="T164" s="74"/>
      <x:c r="U164" s="74"/>
      <x:c r="V164" s="74"/>
    </x:row>
    <x:row r="165">
      <x:c r="A165" s="74"/>
      <x:c r="B165" s="74"/>
      <x:c r="C165" s="74"/>
      <x:c r="D165" s="74"/>
      <x:c r="E165" s="74"/>
      <x:c r="F165" s="74"/>
      <x:c r="G165" s="74"/>
      <x:c r="H165" s="74"/>
      <x:c r="I165" s="74"/>
      <x:c r="J165" s="74"/>
      <x:c r="K165" s="74"/>
      <x:c r="L165" s="74"/>
      <x:c r="M165" s="74"/>
      <x:c r="N165" s="74"/>
      <x:c r="O165" s="74"/>
      <x:c r="P165" s="74"/>
      <x:c r="Q165" s="74"/>
      <x:c r="R165" s="74"/>
      <x:c r="S165" s="74"/>
      <x:c r="T165" s="74"/>
      <x:c r="U165" s="74"/>
      <x:c r="V165" s="74"/>
    </x:row>
    <x:row r="166">
      <x:c r="A166" s="74"/>
      <x:c r="B166" s="74"/>
      <x:c r="C166" s="74"/>
      <x:c r="D166" s="74"/>
      <x:c r="E166" s="74"/>
      <x:c r="F166" s="74"/>
      <x:c r="G166" s="74"/>
      <x:c r="H166" s="74"/>
      <x:c r="I166" s="74"/>
      <x:c r="J166" s="74"/>
      <x:c r="K166" s="74"/>
      <x:c r="L166" s="74"/>
      <x:c r="M166" s="74"/>
      <x:c r="N166" s="74"/>
      <x:c r="O166" s="74"/>
      <x:c r="P166" s="74"/>
      <x:c r="Q166" s="74"/>
      <x:c r="R166" s="74"/>
      <x:c r="S166" s="74"/>
      <x:c r="T166" s="74"/>
      <x:c r="U166" s="74"/>
      <x:c r="V166" s="74"/>
    </x:row>
    <x:row r="167">
      <x:c r="A167" s="74"/>
      <x:c r="B167" s="74"/>
      <x:c r="C167" s="74"/>
      <x:c r="D167" s="74"/>
      <x:c r="E167" s="74"/>
      <x:c r="F167" s="74"/>
      <x:c r="G167" s="74"/>
      <x:c r="H167" s="74"/>
      <x:c r="I167" s="74"/>
      <x:c r="J167" s="74"/>
      <x:c r="K167" s="74"/>
      <x:c r="L167" s="74"/>
      <x:c r="M167" s="74"/>
      <x:c r="N167" s="74"/>
      <x:c r="O167" s="74"/>
      <x:c r="P167" s="74"/>
      <x:c r="Q167" s="74"/>
      <x:c r="R167" s="74"/>
      <x:c r="S167" s="74"/>
      <x:c r="T167" s="74"/>
      <x:c r="U167" s="74"/>
      <x:c r="V167" s="74"/>
    </x:row>
    <x:row r="168">
      <x:c r="A168" s="74"/>
      <x:c r="B168" s="74"/>
      <x:c r="C168" s="74"/>
      <x:c r="D168" s="74"/>
      <x:c r="E168" s="74"/>
      <x:c r="F168" s="74"/>
      <x:c r="G168" s="74"/>
      <x:c r="H168" s="74"/>
      <x:c r="I168" s="74"/>
      <x:c r="J168" s="74"/>
      <x:c r="K168" s="74"/>
      <x:c r="L168" s="74"/>
      <x:c r="M168" s="74"/>
      <x:c r="N168" s="74"/>
      <x:c r="O168" s="74"/>
      <x:c r="P168" s="74"/>
      <x:c r="Q168" s="74"/>
      <x:c r="R168" s="74"/>
      <x:c r="S168" s="74"/>
      <x:c r="T168" s="74"/>
      <x:c r="U168" s="74"/>
      <x:c r="V168" s="74"/>
    </x:row>
    <x:row r="169">
      <x:c r="A169" s="74"/>
      <x:c r="B169" s="74"/>
      <x:c r="C169" s="74"/>
      <x:c r="D169" s="74"/>
      <x:c r="E169" s="74"/>
      <x:c r="F169" s="74"/>
      <x:c r="G169" s="74"/>
      <x:c r="H169" s="74"/>
      <x:c r="I169" s="74"/>
      <x:c r="J169" s="74"/>
      <x:c r="K169" s="74"/>
      <x:c r="L169" s="74"/>
      <x:c r="M169" s="74"/>
      <x:c r="N169" s="74"/>
      <x:c r="O169" s="74"/>
      <x:c r="P169" s="74"/>
      <x:c r="Q169" s="74"/>
      <x:c r="R169" s="74"/>
      <x:c r="S169" s="74"/>
      <x:c r="T169" s="74"/>
      <x:c r="U169" s="74"/>
      <x:c r="V169" s="74"/>
    </x:row>
    <x:row r="170">
      <x:c r="A170" s="74"/>
      <x:c r="B170" s="74"/>
      <x:c r="C170" s="74"/>
      <x:c r="D170" s="74"/>
      <x:c r="E170" s="74"/>
      <x:c r="F170" s="74"/>
      <x:c r="G170" s="74"/>
      <x:c r="H170" s="74"/>
      <x:c r="I170" s="74"/>
      <x:c r="J170" s="74"/>
      <x:c r="K170" s="74"/>
      <x:c r="L170" s="74"/>
      <x:c r="M170" s="74"/>
      <x:c r="N170" s="74"/>
      <x:c r="O170" s="74"/>
      <x:c r="P170" s="74"/>
      <x:c r="Q170" s="74"/>
      <x:c r="R170" s="74"/>
      <x:c r="S170" s="74"/>
      <x:c r="T170" s="74"/>
      <x:c r="U170" s="74"/>
      <x:c r="V170" s="74"/>
    </x:row>
    <x:row r="171">
      <x:c r="A171" s="74"/>
      <x:c r="B171" s="74"/>
      <x:c r="C171" s="74"/>
      <x:c r="D171" s="74"/>
      <x:c r="E171" s="74"/>
      <x:c r="F171" s="74"/>
      <x:c r="G171" s="74"/>
      <x:c r="H171" s="74"/>
      <x:c r="I171" s="74"/>
      <x:c r="J171" s="74"/>
      <x:c r="K171" s="74"/>
      <x:c r="L171" s="74"/>
      <x:c r="M171" s="74"/>
      <x:c r="N171" s="74"/>
      <x:c r="O171" s="74"/>
      <x:c r="P171" s="74"/>
      <x:c r="Q171" s="74"/>
      <x:c r="R171" s="74"/>
      <x:c r="S171" s="74"/>
      <x:c r="T171" s="74"/>
      <x:c r="U171" s="74"/>
      <x:c r="V171" s="74"/>
    </x:row>
    <x:row r="172">
      <x:c r="A172" s="74"/>
      <x:c r="B172" s="74"/>
      <x:c r="C172" s="74"/>
      <x:c r="D172" s="74"/>
      <x:c r="E172" s="74"/>
      <x:c r="F172" s="74"/>
      <x:c r="G172" s="74"/>
      <x:c r="H172" s="74"/>
      <x:c r="I172" s="74"/>
      <x:c r="J172" s="74"/>
      <x:c r="K172" s="74"/>
      <x:c r="L172" s="74"/>
      <x:c r="M172" s="74"/>
      <x:c r="N172" s="74"/>
      <x:c r="O172" s="74"/>
      <x:c r="P172" s="74"/>
      <x:c r="Q172" s="74"/>
      <x:c r="R172" s="74"/>
      <x:c r="S172" s="74"/>
      <x:c r="T172" s="74"/>
      <x:c r="U172" s="74"/>
      <x:c r="V172" s="74"/>
    </x:row>
    <x:row r="173">
      <x:c r="A173" s="74"/>
      <x:c r="B173" s="74"/>
      <x:c r="C173" s="74"/>
      <x:c r="D173" s="74"/>
      <x:c r="E173" s="74"/>
      <x:c r="F173" s="74"/>
      <x:c r="G173" s="74"/>
      <x:c r="H173" s="74"/>
      <x:c r="I173" s="74"/>
      <x:c r="J173" s="74"/>
      <x:c r="K173" s="74"/>
      <x:c r="L173" s="74"/>
      <x:c r="M173" s="74"/>
      <x:c r="N173" s="74"/>
      <x:c r="O173" s="74"/>
      <x:c r="P173" s="74"/>
      <x:c r="Q173" s="74"/>
      <x:c r="R173" s="74"/>
      <x:c r="S173" s="74"/>
      <x:c r="T173" s="74"/>
      <x:c r="U173" s="74"/>
      <x:c r="V173" s="74"/>
    </x:row>
    <x:row r="174">
      <x:c r="A174" s="74"/>
      <x:c r="B174" s="74"/>
      <x:c r="C174" s="74"/>
      <x:c r="D174" s="74"/>
      <x:c r="E174" s="74"/>
      <x:c r="F174" s="74"/>
      <x:c r="G174" s="74"/>
      <x:c r="H174" s="74"/>
      <x:c r="I174" s="74"/>
      <x:c r="J174" s="74"/>
      <x:c r="K174" s="74"/>
      <x:c r="L174" s="74"/>
      <x:c r="M174" s="74"/>
      <x:c r="N174" s="74"/>
      <x:c r="O174" s="74"/>
      <x:c r="P174" s="74"/>
      <x:c r="Q174" s="74"/>
      <x:c r="R174" s="74"/>
      <x:c r="S174" s="74"/>
      <x:c r="T174" s="74"/>
      <x:c r="U174" s="74"/>
      <x:c r="V174" s="74"/>
    </x:row>
    <x:row r="175">
      <x:c r="A175" s="74"/>
      <x:c r="B175" s="74"/>
      <x:c r="C175" s="74"/>
      <x:c r="D175" s="74"/>
      <x:c r="E175" s="74"/>
      <x:c r="F175" s="74"/>
      <x:c r="G175" s="74"/>
      <x:c r="H175" s="74"/>
      <x:c r="I175" s="74"/>
      <x:c r="J175" s="74"/>
      <x:c r="K175" s="74"/>
      <x:c r="L175" s="74"/>
      <x:c r="M175" s="74"/>
      <x:c r="N175" s="74"/>
      <x:c r="O175" s="74"/>
      <x:c r="P175" s="74"/>
      <x:c r="Q175" s="74"/>
      <x:c r="R175" s="74"/>
      <x:c r="S175" s="74"/>
      <x:c r="T175" s="74"/>
      <x:c r="U175" s="74"/>
      <x:c r="V175" s="74"/>
    </x:row>
    <x:row r="176">
      <x:c r="A176" s="74"/>
      <x:c r="B176" s="74"/>
      <x:c r="C176" s="74"/>
      <x:c r="D176" s="74"/>
      <x:c r="E176" s="74"/>
      <x:c r="F176" s="74"/>
      <x:c r="G176" s="74"/>
      <x:c r="H176" s="74"/>
      <x:c r="I176" s="74"/>
      <x:c r="J176" s="74"/>
      <x:c r="K176" s="74"/>
      <x:c r="L176" s="74"/>
      <x:c r="M176" s="74"/>
      <x:c r="N176" s="74"/>
      <x:c r="O176" s="74"/>
      <x:c r="P176" s="74"/>
      <x:c r="Q176" s="74"/>
      <x:c r="R176" s="74"/>
      <x:c r="S176" s="74"/>
      <x:c r="T176" s="74"/>
      <x:c r="U176" s="74"/>
      <x:c r="V176" s="74"/>
    </x:row>
    <x:row r="177">
      <x:c r="A177" s="74"/>
      <x:c r="B177" s="74"/>
      <x:c r="C177" s="74"/>
      <x:c r="D177" s="74"/>
      <x:c r="E177" s="74"/>
      <x:c r="F177" s="74"/>
      <x:c r="G177" s="74"/>
      <x:c r="H177" s="74"/>
      <x:c r="I177" s="74"/>
      <x:c r="J177" s="74"/>
      <x:c r="K177" s="74"/>
      <x:c r="L177" s="74"/>
      <x:c r="M177" s="74"/>
      <x:c r="N177" s="74"/>
      <x:c r="O177" s="74"/>
      <x:c r="P177" s="74"/>
      <x:c r="Q177" s="74"/>
      <x:c r="R177" s="74"/>
      <x:c r="S177" s="74"/>
      <x:c r="T177" s="74"/>
      <x:c r="U177" s="74"/>
      <x:c r="V177" s="74"/>
    </x:row>
    <x:row r="178">
      <x:c r="A178" s="74"/>
      <x:c r="B178" s="74"/>
      <x:c r="C178" s="74"/>
      <x:c r="D178" s="74"/>
      <x:c r="E178" s="74"/>
      <x:c r="F178" s="74"/>
      <x:c r="G178" s="74"/>
      <x:c r="H178" s="74"/>
      <x:c r="I178" s="74"/>
      <x:c r="J178" s="74"/>
      <x:c r="K178" s="74"/>
      <x:c r="L178" s="74"/>
      <x:c r="M178" s="74"/>
      <x:c r="N178" s="74"/>
      <x:c r="O178" s="74"/>
      <x:c r="P178" s="74"/>
      <x:c r="Q178" s="74"/>
      <x:c r="R178" s="74"/>
      <x:c r="S178" s="74"/>
      <x:c r="T178" s="74"/>
      <x:c r="U178" s="74"/>
      <x:c r="V178" s="74"/>
    </x:row>
    <x:row r="179">
      <x:c r="A179" s="74"/>
      <x:c r="B179" s="74"/>
      <x:c r="C179" s="74"/>
      <x:c r="D179" s="74"/>
      <x:c r="E179" s="74"/>
      <x:c r="F179" s="74"/>
      <x:c r="G179" s="74"/>
      <x:c r="H179" s="74"/>
      <x:c r="I179" s="74"/>
      <x:c r="J179" s="74"/>
      <x:c r="K179" s="74"/>
      <x:c r="L179" s="74"/>
      <x:c r="M179" s="74"/>
      <x:c r="N179" s="74"/>
      <x:c r="O179" s="74"/>
      <x:c r="P179" s="74"/>
      <x:c r="Q179" s="74"/>
      <x:c r="R179" s="74"/>
      <x:c r="S179" s="74"/>
      <x:c r="T179" s="74"/>
      <x:c r="U179" s="74"/>
      <x:c r="V179" s="74"/>
    </x:row>
    <x:row r="180">
      <x:c r="A180" s="74"/>
      <x:c r="B180" s="74"/>
      <x:c r="C180" s="74"/>
      <x:c r="D180" s="74"/>
      <x:c r="E180" s="74"/>
      <x:c r="F180" s="74"/>
      <x:c r="G180" s="74"/>
      <x:c r="H180" s="74"/>
      <x:c r="I180" s="74"/>
      <x:c r="J180" s="74"/>
      <x:c r="K180" s="74"/>
      <x:c r="L180" s="74"/>
      <x:c r="M180" s="74"/>
      <x:c r="N180" s="74"/>
      <x:c r="O180" s="74"/>
      <x:c r="P180" s="74"/>
      <x:c r="Q180" s="74"/>
      <x:c r="R180" s="74"/>
      <x:c r="S180" s="74"/>
      <x:c r="T180" s="74"/>
      <x:c r="U180" s="74"/>
      <x:c r="V180" s="74"/>
    </x:row>
    <x:row r="181">
      <x:c r="A181" s="74"/>
      <x:c r="B181" s="74"/>
      <x:c r="C181" s="74"/>
      <x:c r="D181" s="74"/>
      <x:c r="E181" s="74"/>
      <x:c r="F181" s="74"/>
      <x:c r="G181" s="74"/>
      <x:c r="H181" s="74"/>
      <x:c r="I181" s="74"/>
      <x:c r="J181" s="74"/>
      <x:c r="K181" s="74"/>
      <x:c r="L181" s="74"/>
      <x:c r="M181" s="74"/>
      <x:c r="N181" s="74"/>
      <x:c r="O181" s="74"/>
      <x:c r="P181" s="74"/>
      <x:c r="Q181" s="74"/>
      <x:c r="R181" s="74"/>
      <x:c r="S181" s="74"/>
      <x:c r="T181" s="74"/>
      <x:c r="U181" s="74"/>
      <x:c r="V181" s="74"/>
    </x:row>
    <x:row r="182">
      <x:c r="A182" s="74"/>
      <x:c r="B182" s="74"/>
      <x:c r="C182" s="74"/>
      <x:c r="D182" s="74"/>
      <x:c r="E182" s="74"/>
      <x:c r="F182" s="74"/>
      <x:c r="G182" s="74"/>
      <x:c r="H182" s="74"/>
      <x:c r="I182" s="74"/>
      <x:c r="J182" s="74"/>
      <x:c r="K182" s="74"/>
      <x:c r="L182" s="74"/>
      <x:c r="M182" s="74"/>
      <x:c r="N182" s="74"/>
      <x:c r="O182" s="74"/>
      <x:c r="P182" s="74"/>
      <x:c r="Q182" s="74"/>
      <x:c r="R182" s="74"/>
      <x:c r="S182" s="74"/>
      <x:c r="T182" s="74"/>
      <x:c r="U182" s="74"/>
      <x:c r="V182" s="74"/>
    </x:row>
    <x:row r="183">
      <x:c r="A183" s="74"/>
      <x:c r="B183" s="74"/>
      <x:c r="C183" s="74"/>
      <x:c r="D183" s="74"/>
      <x:c r="E183" s="74"/>
      <x:c r="F183" s="74"/>
      <x:c r="G183" s="74"/>
      <x:c r="H183" s="74"/>
      <x:c r="I183" s="74"/>
      <x:c r="J183" s="74"/>
      <x:c r="K183" s="74"/>
      <x:c r="L183" s="74"/>
      <x:c r="M183" s="74"/>
      <x:c r="N183" s="74"/>
      <x:c r="O183" s="74"/>
      <x:c r="P183" s="74"/>
      <x:c r="Q183" s="74"/>
      <x:c r="R183" s="74"/>
      <x:c r="S183" s="74"/>
      <x:c r="T183" s="74"/>
      <x:c r="U183" s="74"/>
      <x:c r="V183" s="74"/>
    </x:row>
    <x:row r="184">
      <x:c r="A184" s="74"/>
      <x:c r="B184" s="74"/>
      <x:c r="C184" s="74"/>
      <x:c r="D184" s="74"/>
      <x:c r="E184" s="74"/>
      <x:c r="F184" s="74"/>
      <x:c r="G184" s="74"/>
      <x:c r="H184" s="74"/>
      <x:c r="I184" s="74"/>
      <x:c r="J184" s="74"/>
      <x:c r="K184" s="74"/>
      <x:c r="L184" s="74"/>
      <x:c r="M184" s="74"/>
      <x:c r="N184" s="74"/>
      <x:c r="O184" s="74"/>
      <x:c r="P184" s="74"/>
      <x:c r="Q184" s="74"/>
      <x:c r="R184" s="74"/>
      <x:c r="S184" s="74"/>
      <x:c r="T184" s="74"/>
      <x:c r="U184" s="74"/>
      <x:c r="V184" s="74"/>
    </x:row>
    <x:row r="185">
      <x:c r="A185" s="74"/>
      <x:c r="B185" s="74"/>
      <x:c r="C185" s="74"/>
      <x:c r="D185" s="74"/>
      <x:c r="E185" s="74"/>
      <x:c r="F185" s="74"/>
      <x:c r="G185" s="74"/>
      <x:c r="H185" s="74"/>
      <x:c r="I185" s="74"/>
      <x:c r="J185" s="74"/>
      <x:c r="K185" s="74"/>
      <x:c r="L185" s="74"/>
      <x:c r="M185" s="74"/>
      <x:c r="N185" s="74"/>
      <x:c r="O185" s="74"/>
      <x:c r="P185" s="74"/>
      <x:c r="Q185" s="74"/>
      <x:c r="R185" s="74"/>
      <x:c r="S185" s="74"/>
      <x:c r="T185" s="74"/>
      <x:c r="U185" s="74"/>
      <x:c r="V185" s="74"/>
    </x:row>
    <x:row r="186">
      <x:c r="A186" s="74"/>
      <x:c r="B186" s="74"/>
      <x:c r="C186" s="74"/>
      <x:c r="D186" s="74"/>
      <x:c r="E186" s="74"/>
      <x:c r="F186" s="74"/>
      <x:c r="G186" s="74"/>
      <x:c r="H186" s="74"/>
      <x:c r="I186" s="74"/>
      <x:c r="J186" s="74"/>
      <x:c r="K186" s="74"/>
      <x:c r="L186" s="74"/>
      <x:c r="M186" s="74"/>
      <x:c r="N186" s="74"/>
      <x:c r="O186" s="74"/>
      <x:c r="P186" s="74"/>
      <x:c r="Q186" s="74"/>
      <x:c r="R186" s="74"/>
      <x:c r="S186" s="74"/>
      <x:c r="T186" s="74"/>
      <x:c r="U186" s="74"/>
      <x:c r="V186" s="74"/>
    </x:row>
    <x:row r="187">
      <x:c r="A187" s="74"/>
      <x:c r="B187" s="74"/>
      <x:c r="C187" s="74"/>
      <x:c r="D187" s="74"/>
      <x:c r="E187" s="74"/>
      <x:c r="F187" s="74"/>
      <x:c r="G187" s="74"/>
      <x:c r="H187" s="74"/>
      <x:c r="I187" s="74"/>
      <x:c r="J187" s="74"/>
      <x:c r="K187" s="74"/>
      <x:c r="L187" s="74"/>
      <x:c r="M187" s="74"/>
      <x:c r="N187" s="74"/>
      <x:c r="O187" s="74"/>
      <x:c r="P187" s="74"/>
      <x:c r="Q187" s="74"/>
      <x:c r="R187" s="74"/>
      <x:c r="S187" s="74"/>
      <x:c r="T187" s="74"/>
      <x:c r="U187" s="74"/>
      <x:c r="V187" s="74"/>
    </x:row>
    <x:row r="188">
      <x:c r="A188" s="74"/>
      <x:c r="B188" s="74"/>
      <x:c r="C188" s="74"/>
      <x:c r="D188" s="74"/>
      <x:c r="E188" s="74"/>
      <x:c r="F188" s="74"/>
      <x:c r="G188" s="74"/>
      <x:c r="H188" s="74"/>
      <x:c r="I188" s="74"/>
      <x:c r="J188" s="74"/>
      <x:c r="K188" s="74"/>
      <x:c r="L188" s="74"/>
      <x:c r="M188" s="74"/>
      <x:c r="N188" s="74"/>
      <x:c r="O188" s="74"/>
      <x:c r="P188" s="74"/>
      <x:c r="Q188" s="74"/>
      <x:c r="R188" s="74"/>
      <x:c r="S188" s="74"/>
      <x:c r="T188" s="74"/>
      <x:c r="U188" s="74"/>
      <x:c r="V188" s="74"/>
    </x:row>
    <x:row r="189">
      <x:c r="A189" s="74"/>
      <x:c r="B189" s="74"/>
      <x:c r="C189" s="74"/>
      <x:c r="D189" s="74"/>
      <x:c r="E189" s="74"/>
      <x:c r="F189" s="74"/>
      <x:c r="G189" s="74"/>
      <x:c r="H189" s="74"/>
      <x:c r="I189" s="74"/>
      <x:c r="J189" s="74"/>
      <x:c r="K189" s="74"/>
      <x:c r="L189" s="74"/>
      <x:c r="M189" s="74"/>
      <x:c r="N189" s="74"/>
      <x:c r="O189" s="74"/>
      <x:c r="P189" s="74"/>
      <x:c r="Q189" s="74"/>
      <x:c r="R189" s="74"/>
      <x:c r="S189" s="74"/>
      <x:c r="T189" s="74"/>
      <x:c r="U189" s="74"/>
      <x:c r="V189" s="74"/>
    </x:row>
    <x:row r="190">
      <x:c r="A190" s="74"/>
      <x:c r="B190" s="74"/>
      <x:c r="C190" s="74"/>
      <x:c r="D190" s="74"/>
      <x:c r="E190" s="74"/>
      <x:c r="F190" s="74"/>
      <x:c r="G190" s="74"/>
      <x:c r="H190" s="74"/>
      <x:c r="I190" s="74"/>
      <x:c r="J190" s="74"/>
      <x:c r="K190" s="74"/>
      <x:c r="L190" s="74"/>
      <x:c r="M190" s="74"/>
      <x:c r="N190" s="74"/>
      <x:c r="O190" s="74"/>
      <x:c r="P190" s="74"/>
      <x:c r="Q190" s="74"/>
      <x:c r="R190" s="74"/>
      <x:c r="S190" s="74"/>
      <x:c r="T190" s="74"/>
      <x:c r="U190" s="74"/>
      <x:c r="V190" s="74"/>
    </x:row>
    <x:row r="191">
      <x:c r="A191" s="74"/>
      <x:c r="B191" s="74"/>
      <x:c r="C191" s="74"/>
      <x:c r="D191" s="74"/>
      <x:c r="E191" s="74"/>
      <x:c r="F191" s="74"/>
      <x:c r="G191" s="74"/>
      <x:c r="H191" s="74"/>
      <x:c r="I191" s="74"/>
      <x:c r="J191" s="74"/>
      <x:c r="K191" s="74"/>
      <x:c r="L191" s="74"/>
      <x:c r="M191" s="74"/>
      <x:c r="N191" s="74"/>
      <x:c r="O191" s="74"/>
      <x:c r="P191" s="74"/>
      <x:c r="Q191" s="74"/>
      <x:c r="R191" s="74"/>
      <x:c r="S191" s="74"/>
      <x:c r="T191" s="74"/>
      <x:c r="U191" s="74"/>
      <x:c r="V191" s="74"/>
    </x:row>
    <x:row r="192">
      <x:c r="A192" s="74"/>
      <x:c r="B192" s="74"/>
      <x:c r="C192" s="74"/>
      <x:c r="D192" s="74"/>
      <x:c r="E192" s="74"/>
      <x:c r="F192" s="74"/>
      <x:c r="G192" s="74"/>
      <x:c r="H192" s="74"/>
      <x:c r="I192" s="74"/>
      <x:c r="J192" s="74"/>
      <x:c r="K192" s="74"/>
      <x:c r="L192" s="74"/>
      <x:c r="M192" s="74"/>
      <x:c r="N192" s="74"/>
      <x:c r="O192" s="74"/>
      <x:c r="P192" s="74"/>
      <x:c r="Q192" s="74"/>
      <x:c r="R192" s="74"/>
      <x:c r="S192" s="74"/>
      <x:c r="T192" s="74"/>
      <x:c r="U192" s="74"/>
      <x:c r="V192" s="74"/>
    </x:row>
    <x:row r="193">
      <x:c r="A193" s="74"/>
      <x:c r="B193" s="74"/>
      <x:c r="C193" s="74"/>
      <x:c r="D193" s="74"/>
      <x:c r="E193" s="74"/>
      <x:c r="F193" s="74"/>
      <x:c r="G193" s="74"/>
      <x:c r="H193" s="74"/>
      <x:c r="I193" s="74"/>
      <x:c r="J193" s="74"/>
      <x:c r="K193" s="74"/>
      <x:c r="L193" s="74"/>
      <x:c r="M193" s="74"/>
      <x:c r="N193" s="74"/>
      <x:c r="O193" s="74"/>
      <x:c r="P193" s="74"/>
      <x:c r="Q193" s="74"/>
      <x:c r="R193" s="74"/>
      <x:c r="S193" s="74"/>
      <x:c r="T193" s="74"/>
      <x:c r="U193" s="74"/>
      <x:c r="V193" s="74"/>
    </x:row>
    <x:row r="194">
      <x:c r="A194" s="74"/>
      <x:c r="B194" s="74"/>
      <x:c r="C194" s="74"/>
      <x:c r="D194" s="74"/>
      <x:c r="E194" s="74"/>
      <x:c r="F194" s="74"/>
      <x:c r="G194" s="74"/>
      <x:c r="H194" s="74"/>
      <x:c r="I194" s="74"/>
      <x:c r="J194" s="74"/>
      <x:c r="K194" s="74"/>
      <x:c r="L194" s="74"/>
      <x:c r="M194" s="74"/>
      <x:c r="N194" s="74"/>
      <x:c r="O194" s="74"/>
      <x:c r="P194" s="74"/>
      <x:c r="Q194" s="74"/>
      <x:c r="R194" s="74"/>
      <x:c r="S194" s="74"/>
      <x:c r="T194" s="74"/>
      <x:c r="U194" s="74"/>
      <x:c r="V194" s="74"/>
    </x:row>
    <x:row r="195">
      <x:c r="A195" s="74"/>
      <x:c r="B195" s="74"/>
      <x:c r="C195" s="74"/>
      <x:c r="D195" s="74"/>
      <x:c r="E195" s="74"/>
      <x:c r="F195" s="74"/>
      <x:c r="G195" s="74"/>
      <x:c r="H195" s="74"/>
      <x:c r="I195" s="74"/>
      <x:c r="J195" s="74"/>
      <x:c r="K195" s="74"/>
      <x:c r="L195" s="74"/>
      <x:c r="M195" s="74"/>
      <x:c r="N195" s="74"/>
      <x:c r="O195" s="74"/>
      <x:c r="P195" s="74"/>
      <x:c r="Q195" s="74"/>
      <x:c r="R195" s="74"/>
      <x:c r="S195" s="74"/>
      <x:c r="T195" s="74"/>
      <x:c r="U195" s="74"/>
      <x:c r="V195" s="74"/>
    </x:row>
    <x:row r="196">
      <x:c r="A196" s="74"/>
      <x:c r="B196" s="74"/>
      <x:c r="C196" s="74"/>
      <x:c r="D196" s="74"/>
      <x:c r="E196" s="74"/>
      <x:c r="F196" s="74"/>
      <x:c r="G196" s="74"/>
      <x:c r="H196" s="74"/>
      <x:c r="I196" s="74"/>
      <x:c r="J196" s="74"/>
      <x:c r="K196" s="74"/>
      <x:c r="L196" s="74"/>
      <x:c r="M196" s="74"/>
      <x:c r="N196" s="74"/>
      <x:c r="O196" s="74"/>
      <x:c r="P196" s="74"/>
      <x:c r="Q196" s="74"/>
      <x:c r="R196" s="74"/>
      <x:c r="S196" s="74"/>
      <x:c r="T196" s="74"/>
      <x:c r="U196" s="74"/>
      <x:c r="V196" s="74"/>
    </x:row>
    <x:row r="197">
      <x:c r="A197" s="74"/>
      <x:c r="B197" s="74"/>
      <x:c r="C197" s="74"/>
      <x:c r="D197" s="74"/>
      <x:c r="E197" s="74"/>
      <x:c r="F197" s="74"/>
      <x:c r="G197" s="74"/>
      <x:c r="H197" s="74"/>
      <x:c r="I197" s="74"/>
      <x:c r="J197" s="74"/>
      <x:c r="K197" s="74"/>
      <x:c r="L197" s="74"/>
      <x:c r="M197" s="74"/>
      <x:c r="N197" s="74"/>
      <x:c r="O197" s="74"/>
      <x:c r="P197" s="74"/>
      <x:c r="Q197" s="74"/>
      <x:c r="R197" s="74"/>
      <x:c r="S197" s="74"/>
      <x:c r="T197" s="74"/>
      <x:c r="U197" s="74"/>
      <x:c r="V197" s="74"/>
    </x:row>
    <x:row r="198">
      <x:c r="A198" s="74"/>
      <x:c r="B198" s="74"/>
      <x:c r="C198" s="74"/>
      <x:c r="D198" s="74"/>
      <x:c r="E198" s="74"/>
      <x:c r="F198" s="74"/>
      <x:c r="G198" s="74"/>
      <x:c r="H198" s="74"/>
      <x:c r="I198" s="74"/>
      <x:c r="J198" s="74"/>
      <x:c r="K198" s="74"/>
      <x:c r="L198" s="74"/>
      <x:c r="M198" s="74"/>
      <x:c r="N198" s="74"/>
      <x:c r="O198" s="74"/>
      <x:c r="P198" s="74"/>
      <x:c r="Q198" s="74"/>
      <x:c r="R198" s="74"/>
      <x:c r="S198" s="74"/>
      <x:c r="T198" s="74"/>
      <x:c r="U198" s="74"/>
      <x:c r="V198" s="74"/>
    </x:row>
    <x:row r="199">
      <x:c r="A199" s="74"/>
      <x:c r="B199" s="74"/>
      <x:c r="C199" s="74"/>
      <x:c r="D199" s="74"/>
      <x:c r="E199" s="74"/>
      <x:c r="F199" s="74"/>
      <x:c r="G199" s="74"/>
      <x:c r="H199" s="74"/>
      <x:c r="I199" s="74"/>
      <x:c r="J199" s="74"/>
      <x:c r="K199" s="74"/>
      <x:c r="L199" s="74"/>
      <x:c r="M199" s="74"/>
      <x:c r="N199" s="74"/>
      <x:c r="O199" s="74"/>
      <x:c r="P199" s="74"/>
      <x:c r="Q199" s="74"/>
      <x:c r="R199" s="74"/>
      <x:c r="S199" s="74"/>
      <x:c r="T199" s="74"/>
      <x:c r="U199" s="74"/>
      <x:c r="V199" s="74"/>
    </x:row>
    <x:row r="200">
      <x:c r="A200" s="74"/>
      <x:c r="B200" s="74"/>
      <x:c r="C200" s="74"/>
      <x:c r="D200" s="74"/>
      <x:c r="E200" s="74"/>
      <x:c r="F200" s="74"/>
      <x:c r="G200" s="74"/>
      <x:c r="H200" s="74"/>
      <x:c r="I200" s="74"/>
      <x:c r="J200" s="74"/>
      <x:c r="K200" s="74"/>
      <x:c r="L200" s="74"/>
      <x:c r="M200" s="74"/>
      <x:c r="N200" s="74"/>
      <x:c r="O200" s="74"/>
      <x:c r="P200" s="74"/>
      <x:c r="Q200" s="74"/>
      <x:c r="R200" s="74"/>
      <x:c r="S200" s="74"/>
      <x:c r="T200" s="74"/>
      <x:c r="U200" s="74"/>
      <x:c r="V200" s="74"/>
    </x:row>
  </x:sheetData>
  <x:conditionalFormatting sqref="B2:B29">
    <x:cfRule type="expression" dxfId="0" priority="1">
      <x:formula>B2="P0 대표 결론"</x:formula>
    </x:cfRule>
    <x:cfRule type="expression" dxfId="1" priority="2">
      <x:formula>B2="P1 필수 전제"</x:formula>
    </x:cfRule>
    <x:cfRule type="expression" dxfId="2" priority="3">
      <x:formula>B2="P2 보조 강건성"</x:formula>
    </x:cfRule>
    <x:cfRule type="expression" dxfId="3" priority="4">
      <x:formula>B2="P3 경계·운영"</x:formula>
    </x:cfRule>
  </x:conditionalFormatting>
  <x:conditionalFormatting sqref="Q2:Q29">
    <x:cfRule type="expression" dxfId="4" priority="5">
      <x:formula>Q2="READY"</x:formula>
    </x:cfRule>
    <x:cfRule type="expression" dxfId="5" priority="6">
      <x:formula>Q2="READY_WITH_BOUNDARY"</x:formula>
    </x:cfRule>
    <x:cfRule type="expression" dxfId="6" priority="7">
      <x:formula>LEFT(Q2,9)="NOT_READY"</x:formula>
    </x:cfRule>
    <x:cfRule type="expression" dxfId="7" priority="8">
      <x:formula>Q2="CONDITIONAL_ONLY"</x:formula>
    </x:cfRule>
  </x:conditionalFormatting>
  <x:conditionalFormatting sqref="P2:P29">
    <x:cfRule type="expression" dxfId="8" priority="9">
      <x:formula>LEFT(P2,6)="FROZEN"</x:formula>
    </x:cfRule>
    <x:cfRule type="expression" dxfId="9" priority="10">
      <x:formula>OR(P2="PATH_CONFIRMATION_REQUIRED",P2="RECOMPUTE_REQUIRED",P2="PROVENANCE_PENDING")</x:formula>
    </x:cfRule>
    <x:cfRule type="expression" dxfId="10" priority="11">
      <x:formula>P2="CONDITIONAL_NAMING"</x:formula>
    </x:cfRule>
  </x:conditionalFormatting>
  <x:conditionalFormatting sqref="V2:V29">
    <x:cfRule type="expression" dxfId="19" priority="12">
      <x:formula>V2="UNMAPPED"</x:formula>
    </x:cfRule>
  </x:conditionalFormatting>
  <x:dataValidations count="4">
    <x:dataValidation type="list" sqref="B2:B29">
      <x:formula1>"P0 대표 결론,P1 필수 전제,P2 보조 강건성,P3 경계·운영"</x:formula1>
    </x:dataValidation>
    <x:dataValidation type="list" sqref="N2:N29">
      <x:formula1>"주장경계·설계계약,사전 명세,실행 전 동결 확장,Evaluator-only 사후 귀속,탐색적 분석,QC·프로토콜 감사,통합 운영결론"</x:formula1>
    </x:dataValidation>
    <x:dataValidation type="list" sqref="P2:P29">
      <x:formula1>"FROZEN,FROZEN_GROUP,FROZEN_WITH_BOUNDARY,PATH_CONFIRMATION_REQUIRED,RECOMPUTE_REQUIRED,CONDITIONAL_NAMING,PROVENANCE_PENDING"</x:formula1>
    </x:dataValidation>
    <x:dataValidation type="list" sqref="Q2:Q29">
      <x:formula1>"READY,READY_WITH_BOUNDARY,NOT_READY_PATH,NOT_READY_RECOMPUTE,NOT_READY_PROVENANCE,CONDITIONAL_ONLY"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17f3dc3f5f4dc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4" hidden="0" customWidth="1"/>
    <x:col min="3" max="3" width="22" hidden="0" customWidth="1"/>
    <x:col min="4" max="4" width="24" hidden="0" customWidth="1"/>
    <x:col min="5" max="5" width="28" hidden="0" customWidth="1"/>
    <x:col min="6" max="6" width="16" hidden="0" customWidth="1"/>
    <x:col min="7" max="7" width="34" hidden="0" customWidth="1"/>
    <x:col min="8" max="8" width="28" hidden="0" customWidth="1"/>
  </x:cols>
  <x:sheetData>
    <x:row r="1">
      <x:c r="A1" s="95" t="str">
        <x:v>공식 항목</x:v>
      </x:c>
      <x:c r="B1" s="95" t="str">
        <x:v>동결 주제</x:v>
      </x:c>
      <x:c r="C1" s="95" t="str">
        <x:v>주요 위치</x:v>
      </x:c>
      <x:c r="D1" s="95" t="str">
        <x:v>증거지위</x:v>
      </x:c>
      <x:c r="E1" s="95" t="str">
        <x:v>연결 Claim ID</x:v>
      </x:c>
      <x:c r="F1" s="95" t="str">
        <x:v>Decision ID</x:v>
      </x:c>
      <x:c r="G1" s="95" t="str">
        <x:v>Source ID</x:v>
      </x:c>
      <x:c r="H1" s="95" t="str">
        <x:v>현재 상태</x:v>
      </x:c>
      <x:c r="I1" s="74"/>
      <x:c r="J1" s="74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</x:row>
    <x:row r="2" ht="42" customHeight="1">
      <x:c r="A2" s="79" t="str">
        <x:v>RQ1</x:v>
      </x:c>
      <x:c r="B2" s="79" t="str">
        <x:v>평가기반 타당성</x:v>
      </x:c>
      <x:c r="C2" s="79" t="str">
        <x:v>제3장</x:v>
      </x:c>
      <x:c r="D2" s="79" t="str">
        <x:v>사전 명세</x:v>
      </x:c>
      <x:c r="E2" s="79" t="str">
        <x:v>C01–C04</x:v>
      </x:c>
      <x:c r="F2" s="79" t="str"/>
      <x:c r="G2" s="79" t="str">
        <x:v>S01–S06</x:v>
      </x:c>
      <x:c r="H2" s="79" t="str">
        <x:v>ACTIVE</x:v>
      </x:c>
      <x:c r="I2" s="74"/>
      <x:c r="J2" s="74"/>
      <x:c r="K2" s="74"/>
      <x:c r="L2" s="74"/>
      <x:c r="M2" s="74"/>
      <x:c r="N2" s="74"/>
      <x:c r="O2" s="74"/>
      <x:c r="P2" s="74"/>
      <x:c r="Q2" s="74"/>
      <x:c r="R2" s="74"/>
      <x:c r="S2" s="74"/>
      <x:c r="T2" s="74"/>
      <x:c r="U2" s="74"/>
      <x:c r="V2" s="74"/>
    </x:row>
    <x:row r="3" ht="42" customHeight="1">
      <x:c r="A3" s="79" t="str">
        <x:v>RQ2</x:v>
      </x:c>
      <x:c r="B3" s="79" t="str">
        <x:v>정책가치와 reference ladder</x:v>
      </x:c>
      <x:c r="C3" s="79" t="str">
        <x:v>제4장</x:v>
      </x:c>
      <x:c r="D3" s="79" t="str">
        <x:v>사전 명세</x:v>
      </x:c>
      <x:c r="E3" s="79" t="str">
        <x:v>C05–C06</x:v>
      </x:c>
      <x:c r="F3" s="79" t="str">
        <x:v>D03</x:v>
      </x:c>
      <x:c r="G3" s="79" t="str">
        <x:v>S01,S07–S10</x:v>
      </x:c>
      <x:c r="H3" s="79" t="str">
        <x:v>ACTIVE</x:v>
      </x:c>
      <x:c r="I3" s="74"/>
      <x:c r="J3" s="74"/>
      <x:c r="K3" s="74"/>
      <x:c r="L3" s="74"/>
      <x:c r="M3" s="74"/>
      <x:c r="N3" s="74"/>
      <x:c r="O3" s="74"/>
      <x:c r="P3" s="74"/>
      <x:c r="Q3" s="74"/>
      <x:c r="R3" s="74"/>
      <x:c r="S3" s="74"/>
      <x:c r="T3" s="74"/>
      <x:c r="U3" s="74"/>
      <x:c r="V3" s="74"/>
    </x:row>
    <x:row r="4" ht="42" customHeight="1">
      <x:c r="A4" s="79" t="str">
        <x:v>RQ3</x:v>
      </x:c>
      <x:c r="B4" s="79" t="str">
        <x:v>추론 유도 및 참조 수용·출처·시점</x:v>
      </x:c>
      <x:c r="C4" s="79" t="str">
        <x:v>5.4, 6.4</x:v>
      </x:c>
      <x:c r="D4" s="79" t="str">
        <x:v>사전 명세</x:v>
      </x:c>
      <x:c r="E4" s="79" t="str">
        <x:v>C09,C12,C13,C26</x:v>
      </x:c>
      <x:c r="F4" s="79" t="str">
        <x:v>D02, D10</x:v>
      </x:c>
      <x:c r="G4" s="79" t="str">
        <x:v>S12,S14,S15,S29</x:v>
      </x:c>
      <x:c r="H4" s="79" t="str">
        <x:v>ACTIVE</x:v>
      </x:c>
      <x:c r="I4" s="74"/>
      <x:c r="J4" s="74"/>
      <x:c r="K4" s="74"/>
      <x:c r="L4" s="74"/>
      <x:c r="M4" s="74"/>
      <x:c r="N4" s="74"/>
      <x:c r="O4" s="74"/>
      <x:c r="P4" s="74"/>
      <x:c r="Q4" s="74"/>
      <x:c r="R4" s="74"/>
      <x:c r="S4" s="74"/>
      <x:c r="T4" s="74"/>
      <x:c r="U4" s="74"/>
      <x:c r="V4" s="74"/>
    </x:row>
    <x:row r="5" ht="42" customHeight="1">
      <x:c r="A5" s="79" t="str">
        <x:v>H1</x:v>
      </x:c>
      <x:c r="B5" s="79" t="str">
        <x:v>추론의 점수효과 — 사전명세 3백엔드 자유작성 계약</x:v>
      </x:c>
      <x:c r="C5" s="79" t="str">
        <x:v>5.4</x:v>
      </x:c>
      <x:c r="D5" s="79" t="str">
        <x:v>사전 명세</x:v>
      </x:c>
      <x:c r="E5" s="79" t="str">
        <x:v>C09</x:v>
      </x:c>
      <x:c r="F5" s="79" t="str">
        <x:v>D10</x:v>
      </x:c>
      <x:c r="G5" s="79" t="str">
        <x:v>S12</x:v>
      </x:c>
      <x:c r="H5" s="79" t="str">
        <x:v>ACTIVE</x:v>
      </x:c>
      <x:c r="I5" s="74"/>
      <x:c r="J5" s="74"/>
      <x:c r="K5" s="74"/>
      <x:c r="L5" s="74"/>
      <x:c r="M5" s="74"/>
      <x:c r="N5" s="74"/>
      <x:c r="O5" s="74"/>
      <x:c r="P5" s="74"/>
      <x:c r="Q5" s="74"/>
      <x:c r="R5" s="74"/>
      <x:c r="S5" s="74"/>
      <x:c r="T5" s="74"/>
      <x:c r="U5" s="74"/>
      <x:c r="V5" s="74"/>
    </x:row>
    <x:row r="6" ht="42" customHeight="1">
      <x:c r="A6" s="79" t="str">
        <x:v>H2</x:v>
      </x:c>
      <x:c r="B6" s="79" t="str">
        <x:v>추론의 형식효과 — 사전명세 3백엔드 자유작성 계약</x:v>
      </x:c>
      <x:c r="C6" s="79" t="str">
        <x:v>5.4</x:v>
      </x:c>
      <x:c r="D6" s="79" t="str">
        <x:v>사전 명세</x:v>
      </x:c>
      <x:c r="E6" s="79" t="str">
        <x:v>C26</x:v>
      </x:c>
      <x:c r="F6" s="79" t="str">
        <x:v>D10</x:v>
      </x:c>
      <x:c r="G6" s="79" t="str">
        <x:v>S29</x:v>
      </x:c>
      <x:c r="H6" s="79" t="str">
        <x:v>RECOMPUTE_REQUIRED</x:v>
      </x:c>
      <x:c r="I6" s="74"/>
      <x:c r="J6" s="74"/>
      <x:c r="K6" s="74"/>
      <x:c r="L6" s="74"/>
      <x:c r="M6" s="74"/>
      <x:c r="N6" s="74"/>
      <x:c r="O6" s="74"/>
      <x:c r="P6" s="74"/>
      <x:c r="Q6" s="74"/>
      <x:c r="R6" s="74"/>
      <x:c r="S6" s="74"/>
      <x:c r="T6" s="74"/>
      <x:c r="U6" s="74"/>
      <x:c r="V6" s="74"/>
    </x:row>
    <x:row r="7" ht="42" customHeight="1">
      <x:c r="A7" s="79" t="str">
        <x:v>H3</x:v>
      </x:c>
      <x:c r="B7" s="79" t="str">
        <x:v>참조 출처에 따른 차별적 수용</x:v>
      </x:c>
      <x:c r="C7" s="79" t="str">
        <x:v>6.4.1</x:v>
      </x:c>
      <x:c r="D7" s="79" t="str">
        <x:v>사전 명세</x:v>
      </x:c>
      <x:c r="E7" s="79" t="str">
        <x:v>C12</x:v>
      </x:c>
      <x:c r="F7" s="79" t="str">
        <x:v>D02</x:v>
      </x:c>
      <x:c r="G7" s="79" t="str">
        <x:v>S14</x:v>
      </x:c>
      <x:c r="H7" s="79" t="str">
        <x:v>ACTIVE</x:v>
      </x:c>
      <x:c r="I7" s="74"/>
      <x:c r="J7" s="74"/>
      <x:c r="K7" s="74"/>
      <x:c r="L7" s="74"/>
      <x:c r="M7" s="74"/>
      <x:c r="N7" s="74"/>
      <x:c r="O7" s="74"/>
      <x:c r="P7" s="74"/>
      <x:c r="Q7" s="74"/>
      <x:c r="R7" s="74"/>
      <x:c r="S7" s="74"/>
      <x:c r="T7" s="74"/>
      <x:c r="U7" s="74"/>
      <x:c r="V7" s="74"/>
    </x:row>
    <x:row r="8" ht="42" customHeight="1">
      <x:c r="A8" s="79" t="str">
        <x:v>RQ4</x:v>
      </x:c>
      <x:c r="B8" s="79" t="str">
        <x:v>Oracle·행동공간 강건성 및 검토가능성</x:v>
      </x:c>
      <x:c r="C8" s="79" t="str">
        <x:v>5장, 6.7–6.8</x:v>
      </x:c>
      <x:c r="D8" s="79" t="str">
        <x:v>사전 명세</x:v>
      </x:c>
      <x:c r="E8" s="79" t="str">
        <x:v>C04,C07,C08,C11,C21,C22,C24,C26,C27</x:v>
      </x:c>
      <x:c r="F8" s="79" t="str"/>
      <x:c r="G8" s="79" t="str">
        <x:v>S06,S09–S11,S18,S19,S24,S26,S29,S30</x:v>
      </x:c>
      <x:c r="H8" s="79" t="str">
        <x:v>PARTIAL</x:v>
      </x:c>
      <x:c r="I8" s="74"/>
      <x:c r="J8" s="74"/>
      <x:c r="K8" s="74"/>
      <x:c r="L8" s="74"/>
      <x:c r="M8" s="74"/>
      <x:c r="N8" s="74"/>
      <x:c r="O8" s="74"/>
      <x:c r="P8" s="74"/>
      <x:c r="Q8" s="74"/>
      <x:c r="R8" s="74"/>
      <x:c r="S8" s="74"/>
      <x:c r="T8" s="74"/>
      <x:c r="U8" s="74"/>
      <x:c r="V8" s="74"/>
    </x:row>
    <x:row r="9" ht="42" customHeight="1">
      <x:c r="A9" s="79" t="str">
        <x:v>H4-a</x:v>
      </x:c>
      <x:c r="B9" s="79" t="str">
        <x:v>평가기반 강건성</x:v>
      </x:c>
      <x:c r="C9" s="79" t="str">
        <x:v>3.7, 6.7</x:v>
      </x:c>
      <x:c r="D9" s="79" t="str">
        <x:v>사전 명세</x:v>
      </x:c>
      <x:c r="E9" s="79" t="str">
        <x:v>C04,C11,C21,C22,C27</x:v>
      </x:c>
      <x:c r="F9" s="79" t="str"/>
      <x:c r="G9" s="79" t="str">
        <x:v>S06,S10,S18,S19,S24,S30</x:v>
      </x:c>
      <x:c r="H9" s="79" t="str">
        <x:v>PARTIAL</x:v>
      </x:c>
      <x:c r="I9" s="74"/>
      <x:c r="J9" s="74"/>
      <x:c r="K9" s="74"/>
      <x:c r="L9" s="74"/>
      <x:c r="M9" s="74"/>
      <x:c r="N9" s="74"/>
      <x:c r="O9" s="74"/>
      <x:c r="P9" s="74"/>
      <x:c r="Q9" s="74"/>
      <x:c r="R9" s="74"/>
      <x:c r="S9" s="74"/>
      <x:c r="T9" s="74"/>
      <x:c r="U9" s="74"/>
      <x:c r="V9" s="74"/>
    </x:row>
    <x:row r="10" ht="42" customHeight="1">
      <x:c r="A10" s="79" t="str">
        <x:v>H4-b</x:v>
      </x:c>
      <x:c r="B10" s="79" t="str">
        <x:v>행동공간 trade-off·검토가능성</x:v>
      </x:c>
      <x:c r="C10" s="79" t="str">
        <x:v>5.2–5.4</x:v>
      </x:c>
      <x:c r="D10" s="79" t="str">
        <x:v>사전 명세</x:v>
      </x:c>
      <x:c r="E10" s="79" t="str">
        <x:v>C07,C08,C26</x:v>
      </x:c>
      <x:c r="F10" s="79" t="str"/>
      <x:c r="G10" s="79" t="str">
        <x:v>S09,S11,S29</x:v>
      </x:c>
      <x:c r="H10" s="79" t="str">
        <x:v>PARTIAL</x:v>
      </x:c>
      <x:c r="I10" s="74"/>
      <x:c r="J10" s="74"/>
      <x:c r="K10" s="74"/>
      <x:c r="L10" s="74"/>
      <x:c r="M10" s="74"/>
      <x:c r="N10" s="74"/>
      <x:c r="O10" s="74"/>
      <x:c r="P10" s="74"/>
      <x:c r="Q10" s="74"/>
      <x:c r="R10" s="74"/>
      <x:c r="S10" s="74"/>
      <x:c r="T10" s="74"/>
      <x:c r="U10" s="74"/>
      <x:c r="V10" s="74"/>
    </x:row>
    <x:row r="11" ht="42" customHeight="1">
      <x:c r="A11" s="79" t="str">
        <x:v>RQ5</x:v>
      </x:c>
      <x:c r="B11" s="79" t="str">
        <x:v>정보조건 IC-a/b/c</x:v>
      </x:c>
      <x:c r="C11" s="79" t="str">
        <x:v>5.5</x:v>
      </x:c>
      <x:c r="D11" s="79" t="str">
        <x:v>사전 명세</x:v>
      </x:c>
      <x:c r="E11" s="79" t="str">
        <x:v>C10</x:v>
      </x:c>
      <x:c r="F11" s="79" t="str"/>
      <x:c r="G11" s="79" t="str">
        <x:v>S13</x:v>
      </x:c>
      <x:c r="H11" s="79" t="str">
        <x:v>ACTIVE</x:v>
      </x:c>
      <x:c r="I11" s="74"/>
      <x:c r="J11" s="74"/>
      <x:c r="K11" s="74"/>
      <x:c r="L11" s="74"/>
      <x:c r="M11" s="74"/>
      <x:c r="N11" s="74"/>
      <x:c r="O11" s="74"/>
      <x:c r="P11" s="74"/>
      <x:c r="Q11" s="74"/>
      <x:c r="R11" s="74"/>
      <x:c r="S11" s="74"/>
      <x:c r="T11" s="74"/>
      <x:c r="U11" s="74"/>
      <x:c r="V11" s="74"/>
    </x:row>
    <x:row r="12" ht="42" customHeight="1">
      <x:c r="A12" s="79" t="str">
        <x:v>H5</x:v>
      </x:c>
      <x:c r="B12" s="79" t="str">
        <x:v>정보범위 효과</x:v>
      </x:c>
      <x:c r="C12" s="79" t="str">
        <x:v>5.5</x:v>
      </x:c>
      <x:c r="D12" s="79" t="str">
        <x:v>사전 명세</x:v>
      </x:c>
      <x:c r="E12" s="79" t="str">
        <x:v>C10</x:v>
      </x:c>
      <x:c r="F12" s="79" t="str"/>
      <x:c r="G12" s="79" t="str">
        <x:v>S13</x:v>
      </x:c>
      <x:c r="H12" s="79" t="str">
        <x:v>ACTIVE</x:v>
      </x:c>
      <x:c r="I12" s="74"/>
      <x:c r="J12" s="74"/>
      <x:c r="K12" s="74"/>
      <x:c r="L12" s="74"/>
      <x:c r="M12" s="74"/>
      <x:c r="N12" s="74"/>
      <x:c r="O12" s="74"/>
      <x:c r="P12" s="74"/>
      <x:c r="Q12" s="74"/>
      <x:c r="R12" s="74"/>
      <x:c r="S12" s="74"/>
      <x:c r="T12" s="74"/>
      <x:c r="U12" s="74"/>
      <x:c r="V12" s="74"/>
    </x:row>
    <x:row r="13" ht="42" customHeight="1">
      <x:c r="A13" s="79" t="str">
        <x:v>E1</x:v>
      </x:c>
      <x:c r="B13" s="79" t="str">
        <x:v>동일예산 패키지 효과의 최초 관측</x:v>
      </x:c>
      <x:c r="C13" s="79" t="str">
        <x:v>계보 부록, 7.1</x:v>
      </x:c>
      <x:c r="D13" s="79" t="str">
        <x:v>실행 전 동결 확장</x:v>
      </x:c>
      <x:c r="E13" s="79" t="str">
        <x:v>C14 (successor headline)</x:v>
      </x:c>
      <x:c r="F13" s="79" t="str">
        <x:v>D01</x:v>
      </x:c>
      <x:c r="G13" s="79" t="str">
        <x:v>S31</x:v>
      </x:c>
      <x:c r="H13" s="79" t="str">
        <x:v>SUPERSEDED_FIRST_OBSERVATION</x:v>
      </x:c>
      <x:c r="I13" s="74"/>
      <x:c r="J13" s="74"/>
      <x:c r="K13" s="74"/>
      <x:c r="L13" s="74"/>
      <x:c r="M13" s="74"/>
      <x:c r="N13" s="74"/>
      <x:c r="O13" s="74"/>
      <x:c r="P13" s="74"/>
      <x:c r="Q13" s="74"/>
      <x:c r="R13" s="74"/>
      <x:c r="S13" s="74"/>
      <x:c r="T13" s="74"/>
      <x:c r="U13" s="74"/>
      <x:c r="V13" s="74"/>
    </x:row>
    <x:row r="14" ht="42" customHeight="1">
      <x:c r="A14" s="79" t="str">
        <x:v>E2</x:v>
      </x:c>
      <x:c r="B14" s="79" t="str">
        <x:v>C4R 성분분해</x:v>
      </x:c>
      <x:c r="C14" s="79" t="str">
        <x:v>6.2</x:v>
      </x:c>
      <x:c r="D14" s="79" t="str">
        <x:v>실행 전 동결 확장</x:v>
      </x:c>
      <x:c r="E14" s="79" t="str">
        <x:v>C15,C16</x:v>
      </x:c>
      <x:c r="F14" s="79" t="str">
        <x:v>D02</x:v>
      </x:c>
      <x:c r="G14" s="79" t="str">
        <x:v>S17,S14</x:v>
      </x:c>
      <x:c r="H14" s="79" t="str">
        <x:v>ACTIVE</x:v>
      </x:c>
      <x:c r="I14" s="74"/>
      <x:c r="J14" s="74"/>
      <x:c r="K14" s="74"/>
      <x:c r="L14" s="74"/>
      <x:c r="M14" s="74"/>
      <x:c r="N14" s="74"/>
      <x:c r="O14" s="74"/>
      <x:c r="P14" s="74"/>
      <x:c r="Q14" s="74"/>
      <x:c r="R14" s="74"/>
      <x:c r="S14" s="74"/>
      <x:c r="T14" s="74"/>
      <x:c r="U14" s="74"/>
      <x:c r="V14" s="74"/>
    </x:row>
    <x:row r="15" ht="42" customHeight="1">
      <x:c r="A15" s="79" t="str">
        <x:v>E3</x:v>
      </x:c>
      <x:c r="B15" s="79" t="str">
        <x:v>교차 백엔드·TOST·Shapley 확장</x:v>
      </x:c>
      <x:c r="C15" s="79" t="str">
        <x:v>6.1–6.8</x:v>
      </x:c>
      <x:c r="D15" s="79" t="str">
        <x:v>실행 전 동결 확장</x:v>
      </x:c>
      <x:c r="E15" s="79" t="str">
        <x:v>C14–C17,C21–C23,C25,C27</x:v>
      </x:c>
      <x:c r="F15" s="79" t="str">
        <x:v>D01</x:v>
      </x:c>
      <x:c r="G15" s="79" t="str">
        <x:v>S16–S19,S24,S28,S30</x:v>
      </x:c>
      <x:c r="H15" s="79" t="str">
        <x:v>PARTIAL</x:v>
      </x:c>
      <x:c r="I15" s="74"/>
      <x:c r="J15" s="74"/>
      <x:c r="K15" s="74"/>
      <x:c r="L15" s="74"/>
      <x:c r="M15" s="74"/>
      <x:c r="N15" s="74"/>
      <x:c r="O15" s="74"/>
      <x:c r="P15" s="74"/>
      <x:c r="Q15" s="74"/>
      <x:c r="R15" s="74"/>
      <x:c r="S15" s="74"/>
      <x:c r="T15" s="74"/>
      <x:c r="U15" s="74"/>
      <x:c r="V15" s="74"/>
    </x:row>
    <x:row r="16" ht="42" customHeight="1">
      <x:c r="A16" s="79" t="str">
        <x:v>E4</x:v>
      </x:c>
      <x:c r="B16" s="79" t="str">
        <x:v>계약 준수 및 프로토콜 특성화</x:v>
      </x:c>
      <x:c r="C16" s="79" t="str">
        <x:v>6.5</x:v>
      </x:c>
      <x:c r="D16" s="79" t="str">
        <x:v>QC·프로토콜 감사</x:v>
      </x:c>
      <x:c r="E16" s="79" t="str">
        <x:v>C24</x:v>
      </x:c>
      <x:c r="F16" s="79" t="str"/>
      <x:c r="G16" s="79" t="str">
        <x:v>S26,S27</x:v>
      </x:c>
      <x:c r="H16" s="79" t="str">
        <x:v>ACTIVE</x:v>
      </x:c>
      <x:c r="I16" s="74"/>
      <x:c r="J16" s="74"/>
      <x:c r="K16" s="74"/>
      <x:c r="L16" s="74"/>
      <x:c r="M16" s="74"/>
      <x:c r="N16" s="74"/>
      <x:c r="O16" s="74"/>
      <x:c r="P16" s="74"/>
      <x:c r="Q16" s="74"/>
      <x:c r="R16" s="74"/>
      <x:c r="S16" s="74"/>
      <x:c r="T16" s="74"/>
      <x:c r="U16" s="74"/>
      <x:c r="V16" s="74"/>
    </x:row>
    <x:row r="17">
      <x:c r="A17" s="74"/>
      <x:c r="B17" s="74"/>
      <x:c r="C17" s="74"/>
      <x:c r="D17" s="74"/>
      <x:c r="E17" s="74"/>
      <x:c r="F17" s="74"/>
      <x:c r="G17" s="74"/>
      <x:c r="H17" s="74"/>
      <x:c r="I17" s="74"/>
      <x:c r="J17" s="74"/>
      <x:c r="K17" s="74"/>
      <x:c r="L17" s="74"/>
      <x:c r="M17" s="74"/>
      <x:c r="N17" s="74"/>
      <x:c r="O17" s="74"/>
      <x:c r="P17" s="74"/>
      <x:c r="Q17" s="74"/>
      <x:c r="R17" s="74"/>
      <x:c r="S17" s="74"/>
      <x:c r="T17" s="74"/>
      <x:c r="U17" s="74"/>
      <x:c r="V17" s="74"/>
    </x:row>
    <x:row r="18">
      <x:c r="A18" s="114" t="str">
        <x:v>RQ-H Map 상태 범례</x:v>
      </x:c>
      <x:c r="B18" s="114"/>
      <x:c r="C18" s="114"/>
      <x:c r="D18" s="114"/>
      <x:c r="E18" s="114"/>
      <x:c r="F18" s="114"/>
      <x:c r="G18" s="114"/>
      <x:c r="H18" s="114"/>
      <x:c r="I18" s="74"/>
      <x:c r="J18" s="74"/>
      <x:c r="K18" s="74"/>
      <x:c r="L18" s="74"/>
      <x:c r="M18" s="74"/>
      <x:c r="N18" s="74"/>
      <x:c r="O18" s="74"/>
      <x:c r="P18" s="74"/>
      <x:c r="Q18" s="74"/>
      <x:c r="R18" s="74"/>
      <x:c r="S18" s="74"/>
      <x:c r="T18" s="74"/>
      <x:c r="U18" s="74"/>
      <x:c r="V18" s="74"/>
    </x:row>
    <x:row r="19" ht="28" customHeight="1">
      <x:c r="A19" s="116" t="str">
        <x:v>ACTIVE는 공식 연구질문·가설이 최종 논문에서 유지된다는 뜻이며 증거 완결을 의미하지 않는다. PARTIAL은 연결 Claim 중 경로확인·재산출 항목이 남았다는 뜻이다. 개별 증거의 집필 준비도는 Claim Map의 ‘집필 준비 상태’ 열을 기준으로 판단한다. SUPERSEDED_FIRST_OBSERVATION은 실행계보에는 유지하되 headline 수치는 후속 코호트로 대체한다.</x:v>
      </x:c>
      <x:c r="B19" s="116"/>
      <x:c r="C19" s="116"/>
      <x:c r="D19" s="116"/>
      <x:c r="E19" s="116"/>
      <x:c r="F19" s="116"/>
      <x:c r="G19" s="116"/>
      <x:c r="H19" s="116"/>
      <x:c r="I19" s="74"/>
      <x:c r="J19" s="74"/>
      <x:c r="K19" s="74"/>
      <x:c r="L19" s="74"/>
      <x:c r="M19" s="74"/>
      <x:c r="N19" s="74"/>
      <x:c r="O19" s="74"/>
      <x:c r="P19" s="74"/>
      <x:c r="Q19" s="74"/>
      <x:c r="R19" s="74"/>
      <x:c r="S19" s="74"/>
      <x:c r="T19" s="74"/>
      <x:c r="U19" s="74"/>
      <x:c r="V19" s="74"/>
    </x:row>
    <x:row r="20" ht="28" customHeight="1">
      <x:c r="A20" s="116"/>
      <x:c r="B20" s="116"/>
      <x:c r="C20" s="116"/>
      <x:c r="D20" s="116"/>
      <x:c r="E20" s="116"/>
      <x:c r="F20" s="116"/>
      <x:c r="G20" s="116"/>
      <x:c r="H20" s="116"/>
      <x:c r="I20" s="74"/>
      <x:c r="J20" s="74"/>
      <x:c r="K20" s="74"/>
      <x:c r="L20" s="74"/>
      <x:c r="M20" s="74"/>
      <x:c r="N20" s="74"/>
      <x:c r="O20" s="74"/>
      <x:c r="P20" s="74"/>
      <x:c r="Q20" s="74"/>
      <x:c r="R20" s="74"/>
      <x:c r="S20" s="74"/>
      <x:c r="T20" s="74"/>
      <x:c r="U20" s="74"/>
      <x:c r="V20" s="74"/>
    </x:row>
    <x:row r="21" ht="28" customHeight="1">
      <x:c r="A21" s="116"/>
      <x:c r="B21" s="116"/>
      <x:c r="C21" s="116"/>
      <x:c r="D21" s="116"/>
      <x:c r="E21" s="116"/>
      <x:c r="F21" s="116"/>
      <x:c r="G21" s="116"/>
      <x:c r="H21" s="116"/>
      <x:c r="I21" s="74"/>
      <x:c r="J21" s="74"/>
      <x:c r="K21" s="74"/>
      <x:c r="L21" s="74"/>
      <x:c r="M21" s="74"/>
      <x:c r="N21" s="74"/>
      <x:c r="O21" s="74"/>
      <x:c r="P21" s="74"/>
      <x:c r="Q21" s="74"/>
      <x:c r="R21" s="74"/>
      <x:c r="S21" s="74"/>
      <x:c r="T21" s="74"/>
      <x:c r="U21" s="74"/>
      <x:c r="V21" s="74"/>
    </x:row>
    <x:row r="22">
      <x:c r="A22" s="74"/>
      <x:c r="B22" s="74"/>
      <x:c r="C22" s="74"/>
      <x:c r="D22" s="74"/>
      <x:c r="E22" s="74"/>
      <x:c r="F22" s="74"/>
      <x:c r="G22" s="74"/>
      <x:c r="H22" s="74"/>
      <x:c r="I22" s="74"/>
      <x:c r="J22" s="74"/>
      <x:c r="K22" s="74"/>
      <x:c r="L22" s="74"/>
      <x:c r="M22" s="74"/>
      <x:c r="N22" s="74"/>
      <x:c r="O22" s="74"/>
      <x:c r="P22" s="74"/>
      <x:c r="Q22" s="74"/>
      <x:c r="R22" s="74"/>
      <x:c r="S22" s="74"/>
      <x:c r="T22" s="74"/>
      <x:c r="U22" s="74"/>
      <x:c r="V22" s="74"/>
    </x:row>
    <x:row r="23">
      <x:c r="A23" s="74"/>
      <x:c r="B23" s="74"/>
      <x:c r="C23" s="74"/>
      <x:c r="D23" s="74"/>
      <x:c r="E23" s="74"/>
      <x:c r="F23" s="74"/>
      <x:c r="G23" s="74"/>
      <x:c r="H23" s="74"/>
      <x:c r="I23" s="74"/>
      <x:c r="J23" s="74"/>
      <x:c r="K23" s="74"/>
      <x:c r="L23" s="74"/>
      <x:c r="M23" s="74"/>
      <x:c r="N23" s="74"/>
      <x:c r="O23" s="74"/>
      <x:c r="P23" s="74"/>
      <x:c r="Q23" s="74"/>
      <x:c r="R23" s="74"/>
      <x:c r="S23" s="74"/>
      <x:c r="T23" s="74"/>
      <x:c r="U23" s="74"/>
      <x:c r="V23" s="74"/>
    </x:row>
    <x:row r="24">
      <x:c r="A24" s="74"/>
      <x:c r="B24" s="74"/>
      <x:c r="C24" s="74"/>
      <x:c r="D24" s="74"/>
      <x:c r="E24" s="74"/>
      <x:c r="F24" s="74"/>
      <x:c r="G24" s="74"/>
      <x:c r="H24" s="74"/>
      <x:c r="I24" s="74"/>
      <x:c r="J24" s="74"/>
      <x:c r="K24" s="74"/>
      <x:c r="L24" s="74"/>
      <x:c r="M24" s="74"/>
      <x:c r="N24" s="74"/>
      <x:c r="O24" s="74"/>
      <x:c r="P24" s="74"/>
      <x:c r="Q24" s="74"/>
      <x:c r="R24" s="74"/>
      <x:c r="S24" s="74"/>
      <x:c r="T24" s="74"/>
      <x:c r="U24" s="74"/>
      <x:c r="V24" s="74"/>
    </x:row>
    <x:row r="25">
      <x:c r="A25" s="74"/>
      <x:c r="B25" s="74"/>
      <x:c r="C25" s="74"/>
      <x:c r="D25" s="74"/>
      <x:c r="E25" s="74"/>
      <x:c r="F25" s="74"/>
      <x:c r="G25" s="74"/>
      <x:c r="H25" s="74"/>
      <x:c r="I25" s="74"/>
      <x:c r="J25" s="74"/>
      <x:c r="K25" s="74"/>
      <x:c r="L25" s="74"/>
      <x:c r="M25" s="74"/>
      <x:c r="N25" s="74"/>
      <x:c r="O25" s="74"/>
      <x:c r="P25" s="74"/>
      <x:c r="Q25" s="74"/>
      <x:c r="R25" s="74"/>
      <x:c r="S25" s="74"/>
      <x:c r="T25" s="74"/>
      <x:c r="U25" s="74"/>
      <x:c r="V25" s="74"/>
    </x:row>
    <x:row r="26">
      <x:c r="A26" s="74"/>
      <x:c r="B26" s="74"/>
      <x:c r="C26" s="74"/>
      <x:c r="D26" s="74"/>
      <x:c r="E26" s="74"/>
      <x:c r="F26" s="74"/>
      <x:c r="G26" s="74"/>
      <x:c r="H26" s="74"/>
      <x:c r="I26" s="74"/>
      <x:c r="J26" s="74"/>
      <x:c r="K26" s="74"/>
      <x:c r="L26" s="74"/>
      <x:c r="M26" s="74"/>
      <x:c r="N26" s="74"/>
      <x:c r="O26" s="74"/>
      <x:c r="P26" s="74"/>
      <x:c r="Q26" s="74"/>
      <x:c r="R26" s="74"/>
      <x:c r="S26" s="74"/>
      <x:c r="T26" s="74"/>
      <x:c r="U26" s="74"/>
      <x:c r="V26" s="74"/>
    </x:row>
    <x:row r="27">
      <x:c r="A27" s="74"/>
      <x:c r="B27" s="74"/>
      <x:c r="C27" s="74"/>
      <x:c r="D27" s="74"/>
      <x:c r="E27" s="74"/>
      <x:c r="F27" s="74"/>
      <x:c r="G27" s="74"/>
      <x:c r="H27" s="74"/>
      <x:c r="I27" s="74"/>
      <x:c r="J27" s="74"/>
      <x:c r="K27" s="74"/>
      <x:c r="L27" s="74"/>
      <x:c r="M27" s="74"/>
      <x:c r="N27" s="74"/>
      <x:c r="O27" s="74"/>
      <x:c r="P27" s="74"/>
      <x:c r="Q27" s="74"/>
      <x:c r="R27" s="74"/>
      <x:c r="S27" s="74"/>
      <x:c r="T27" s="74"/>
      <x:c r="U27" s="74"/>
      <x:c r="V27" s="74"/>
    </x:row>
    <x:row r="28">
      <x:c r="A28" s="74"/>
      <x:c r="B28" s="74"/>
      <x:c r="C28" s="74"/>
      <x:c r="D28" s="74"/>
      <x:c r="E28" s="74"/>
      <x:c r="F28" s="74"/>
      <x:c r="G28" s="74"/>
      <x:c r="H28" s="74"/>
      <x:c r="I28" s="74"/>
      <x:c r="J28" s="74"/>
      <x:c r="K28" s="74"/>
      <x:c r="L28" s="74"/>
      <x:c r="M28" s="74"/>
      <x:c r="N28" s="74"/>
      <x:c r="O28" s="74"/>
      <x:c r="P28" s="74"/>
      <x:c r="Q28" s="74"/>
      <x:c r="R28" s="74"/>
      <x:c r="S28" s="74"/>
      <x:c r="T28" s="74"/>
      <x:c r="U28" s="74"/>
      <x:c r="V28" s="74"/>
    </x:row>
    <x:row r="29">
      <x:c r="A29" s="74"/>
      <x:c r="B29" s="74"/>
      <x:c r="C29" s="74"/>
      <x:c r="D29" s="74"/>
      <x:c r="E29" s="74"/>
      <x:c r="F29" s="74"/>
      <x:c r="G29" s="74"/>
      <x:c r="H29" s="74"/>
      <x:c r="I29" s="74"/>
      <x:c r="J29" s="74"/>
      <x:c r="K29" s="74"/>
      <x:c r="L29" s="74"/>
      <x:c r="M29" s="74"/>
      <x:c r="N29" s="74"/>
      <x:c r="O29" s="74"/>
      <x:c r="P29" s="74"/>
      <x:c r="Q29" s="74"/>
      <x:c r="R29" s="74"/>
      <x:c r="S29" s="74"/>
      <x:c r="T29" s="74"/>
      <x:c r="U29" s="74"/>
      <x:c r="V29" s="74"/>
    </x:row>
    <x:row r="30">
      <x:c r="A30" s="74"/>
      <x:c r="B30" s="74"/>
      <x:c r="C30" s="74"/>
      <x:c r="D30" s="74"/>
      <x:c r="E30" s="74"/>
      <x:c r="F30" s="74"/>
      <x:c r="G30" s="74"/>
      <x:c r="H30" s="74"/>
      <x:c r="I30" s="74"/>
      <x:c r="J30" s="74"/>
      <x:c r="K30" s="74"/>
      <x:c r="L30" s="74"/>
      <x:c r="M30" s="74"/>
      <x:c r="N30" s="74"/>
      <x:c r="O30" s="74"/>
      <x:c r="P30" s="74"/>
      <x:c r="Q30" s="74"/>
      <x:c r="R30" s="74"/>
      <x:c r="S30" s="74"/>
      <x:c r="T30" s="74"/>
      <x:c r="U30" s="74"/>
      <x:c r="V30" s="74"/>
    </x:row>
    <x:row r="31">
      <x:c r="A31" s="74"/>
      <x:c r="B31" s="74"/>
      <x:c r="C31" s="74"/>
      <x:c r="D31" s="74"/>
      <x:c r="E31" s="74"/>
      <x:c r="F31" s="74"/>
      <x:c r="G31" s="74"/>
      <x:c r="H31" s="74"/>
      <x:c r="I31" s="74"/>
      <x:c r="J31" s="74"/>
      <x:c r="K31" s="74"/>
      <x:c r="L31" s="74"/>
      <x:c r="M31" s="74"/>
      <x:c r="N31" s="74"/>
      <x:c r="O31" s="74"/>
      <x:c r="P31" s="74"/>
      <x:c r="Q31" s="74"/>
      <x:c r="R31" s="74"/>
      <x:c r="S31" s="74"/>
      <x:c r="T31" s="74"/>
      <x:c r="U31" s="74"/>
      <x:c r="V31" s="74"/>
    </x:row>
    <x:row r="32">
      <x:c r="A32" s="74"/>
      <x:c r="B32" s="74"/>
      <x:c r="C32" s="74"/>
      <x:c r="D32" s="74"/>
      <x:c r="E32" s="74"/>
      <x:c r="F32" s="74"/>
      <x:c r="G32" s="74"/>
      <x:c r="H32" s="74"/>
      <x:c r="I32" s="74"/>
      <x:c r="J32" s="74"/>
      <x:c r="K32" s="74"/>
      <x:c r="L32" s="74"/>
      <x:c r="M32" s="74"/>
      <x:c r="N32" s="74"/>
      <x:c r="O32" s="74"/>
      <x:c r="P32" s="74"/>
      <x:c r="Q32" s="74"/>
      <x:c r="R32" s="74"/>
      <x:c r="S32" s="74"/>
      <x:c r="T32" s="74"/>
      <x:c r="U32" s="74"/>
      <x:c r="V32" s="74"/>
    </x:row>
    <x:row r="33">
      <x:c r="A33" s="74"/>
      <x:c r="B33" s="74"/>
      <x:c r="C33" s="74"/>
      <x:c r="D33" s="74"/>
      <x:c r="E33" s="74"/>
      <x:c r="F33" s="74"/>
      <x:c r="G33" s="74"/>
      <x:c r="H33" s="74"/>
      <x:c r="I33" s="74"/>
      <x:c r="J33" s="74"/>
      <x:c r="K33" s="74"/>
      <x:c r="L33" s="74"/>
      <x:c r="M33" s="74"/>
      <x:c r="N33" s="74"/>
      <x:c r="O33" s="74"/>
      <x:c r="P33" s="74"/>
      <x:c r="Q33" s="74"/>
      <x:c r="R33" s="74"/>
      <x:c r="S33" s="74"/>
      <x:c r="T33" s="74"/>
      <x:c r="U33" s="74"/>
      <x:c r="V33" s="74"/>
    </x:row>
    <x:row r="34">
      <x:c r="A34" s="74"/>
      <x:c r="B34" s="74"/>
      <x:c r="C34" s="74"/>
      <x:c r="D34" s="74"/>
      <x:c r="E34" s="74"/>
      <x:c r="F34" s="74"/>
      <x:c r="G34" s="74"/>
      <x:c r="H34" s="74"/>
      <x:c r="I34" s="74"/>
      <x:c r="J34" s="74"/>
      <x:c r="K34" s="74"/>
      <x:c r="L34" s="74"/>
      <x:c r="M34" s="74"/>
      <x:c r="N34" s="74"/>
      <x:c r="O34" s="74"/>
      <x:c r="P34" s="74"/>
      <x:c r="Q34" s="74"/>
      <x:c r="R34" s="74"/>
      <x:c r="S34" s="74"/>
      <x:c r="T34" s="74"/>
      <x:c r="U34" s="74"/>
      <x:c r="V34" s="74"/>
    </x:row>
    <x:row r="35">
      <x:c r="A35" s="74"/>
      <x:c r="B35" s="74"/>
      <x:c r="C35" s="74"/>
      <x:c r="D35" s="74"/>
      <x:c r="E35" s="74"/>
      <x:c r="F35" s="74"/>
      <x:c r="G35" s="74"/>
      <x:c r="H35" s="74"/>
      <x:c r="I35" s="74"/>
      <x:c r="J35" s="74"/>
      <x:c r="K35" s="74"/>
      <x:c r="L35" s="74"/>
      <x:c r="M35" s="74"/>
      <x:c r="N35" s="74"/>
      <x:c r="O35" s="74"/>
      <x:c r="P35" s="74"/>
      <x:c r="Q35" s="74"/>
      <x:c r="R35" s="74"/>
      <x:c r="S35" s="74"/>
      <x:c r="T35" s="74"/>
      <x:c r="U35" s="74"/>
      <x:c r="V35" s="74"/>
    </x:row>
    <x:row r="36">
      <x:c r="A36" s="74"/>
      <x:c r="B36" s="74"/>
      <x:c r="C36" s="74"/>
      <x:c r="D36" s="74"/>
      <x:c r="E36" s="74"/>
      <x:c r="F36" s="74"/>
      <x:c r="G36" s="74"/>
      <x:c r="H36" s="74"/>
      <x:c r="I36" s="74"/>
      <x:c r="J36" s="74"/>
      <x:c r="K36" s="74"/>
      <x:c r="L36" s="74"/>
      <x:c r="M36" s="74"/>
      <x:c r="N36" s="74"/>
      <x:c r="O36" s="74"/>
      <x:c r="P36" s="74"/>
      <x:c r="Q36" s="74"/>
      <x:c r="R36" s="74"/>
      <x:c r="S36" s="74"/>
      <x:c r="T36" s="74"/>
      <x:c r="U36" s="74"/>
      <x:c r="V36" s="74"/>
    </x:row>
    <x:row r="37">
      <x:c r="A37" s="74"/>
      <x:c r="B37" s="74"/>
      <x:c r="C37" s="74"/>
      <x:c r="D37" s="74"/>
      <x:c r="E37" s="74"/>
      <x:c r="F37" s="74"/>
      <x:c r="G37" s="74"/>
      <x:c r="H37" s="74"/>
      <x:c r="I37" s="74"/>
      <x:c r="J37" s="74"/>
      <x:c r="K37" s="74"/>
      <x:c r="L37" s="74"/>
      <x:c r="M37" s="74"/>
      <x:c r="N37" s="74"/>
      <x:c r="O37" s="74"/>
      <x:c r="P37" s="74"/>
      <x:c r="Q37" s="74"/>
      <x:c r="R37" s="74"/>
      <x:c r="S37" s="74"/>
      <x:c r="T37" s="74"/>
      <x:c r="U37" s="74"/>
      <x:c r="V37" s="74"/>
    </x:row>
    <x:row r="38">
      <x:c r="A38" s="74"/>
      <x:c r="B38" s="74"/>
      <x:c r="C38" s="74"/>
      <x:c r="D38" s="74"/>
      <x:c r="E38" s="74"/>
      <x:c r="F38" s="74"/>
      <x:c r="G38" s="74"/>
      <x:c r="H38" s="74"/>
      <x:c r="I38" s="74"/>
      <x:c r="J38" s="74"/>
      <x:c r="K38" s="74"/>
      <x:c r="L38" s="74"/>
      <x:c r="M38" s="74"/>
      <x:c r="N38" s="74"/>
      <x:c r="O38" s="74"/>
      <x:c r="P38" s="74"/>
      <x:c r="Q38" s="74"/>
      <x:c r="R38" s="74"/>
      <x:c r="S38" s="74"/>
      <x:c r="T38" s="74"/>
      <x:c r="U38" s="74"/>
      <x:c r="V38" s="74"/>
    </x:row>
    <x:row r="39">
      <x:c r="A39" s="74"/>
      <x:c r="B39" s="74"/>
      <x:c r="C39" s="74"/>
      <x:c r="D39" s="74"/>
      <x:c r="E39" s="74"/>
      <x:c r="F39" s="74"/>
      <x:c r="G39" s="74"/>
      <x:c r="H39" s="74"/>
      <x:c r="I39" s="74"/>
      <x:c r="J39" s="74"/>
      <x:c r="K39" s="74"/>
      <x:c r="L39" s="74"/>
      <x:c r="M39" s="74"/>
      <x:c r="N39" s="74"/>
      <x:c r="O39" s="74"/>
      <x:c r="P39" s="74"/>
      <x:c r="Q39" s="74"/>
      <x:c r="R39" s="74"/>
      <x:c r="S39" s="74"/>
      <x:c r="T39" s="74"/>
      <x:c r="U39" s="74"/>
      <x:c r="V39" s="74"/>
    </x:row>
    <x:row r="40">
      <x:c r="A40" s="74"/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4"/>
      <x:c r="T40" s="74"/>
      <x:c r="U40" s="74"/>
      <x:c r="V40" s="74"/>
    </x:row>
    <x:row r="41">
      <x:c r="A41" s="74"/>
      <x:c r="B41" s="74"/>
      <x:c r="C41" s="74"/>
      <x:c r="D41" s="74"/>
      <x:c r="E41" s="74"/>
      <x:c r="F41" s="74"/>
      <x:c r="G41" s="74"/>
      <x:c r="H41" s="74"/>
      <x:c r="I41" s="74"/>
      <x:c r="J41" s="74"/>
      <x:c r="K41" s="74"/>
      <x:c r="L41" s="74"/>
      <x:c r="M41" s="74"/>
      <x:c r="N41" s="74"/>
      <x:c r="O41" s="74"/>
      <x:c r="P41" s="74"/>
      <x:c r="Q41" s="74"/>
      <x:c r="R41" s="74"/>
      <x:c r="S41" s="74"/>
      <x:c r="T41" s="74"/>
      <x:c r="U41" s="74"/>
      <x:c r="V41" s="74"/>
    </x:row>
    <x:row r="42">
      <x:c r="A42" s="74"/>
      <x:c r="B42" s="74"/>
      <x:c r="C42" s="74"/>
      <x:c r="D42" s="74"/>
      <x:c r="E42" s="74"/>
      <x:c r="F42" s="74"/>
      <x:c r="G42" s="74"/>
      <x:c r="H42" s="74"/>
      <x:c r="I42" s="74"/>
      <x:c r="J42" s="74"/>
      <x:c r="K42" s="74"/>
      <x:c r="L42" s="74"/>
      <x:c r="M42" s="74"/>
      <x:c r="N42" s="74"/>
      <x:c r="O42" s="74"/>
      <x:c r="P42" s="74"/>
      <x:c r="Q42" s="74"/>
      <x:c r="R42" s="74"/>
      <x:c r="S42" s="74"/>
      <x:c r="T42" s="74"/>
      <x:c r="U42" s="74"/>
      <x:c r="V42" s="74"/>
    </x:row>
    <x:row r="43">
      <x:c r="A43" s="74"/>
      <x:c r="B43" s="74"/>
      <x:c r="C43" s="74"/>
      <x:c r="D43" s="74"/>
      <x:c r="E43" s="74"/>
      <x:c r="F43" s="74"/>
      <x:c r="G43" s="74"/>
      <x:c r="H43" s="74"/>
      <x:c r="I43" s="74"/>
      <x:c r="J43" s="74"/>
      <x:c r="K43" s="74"/>
      <x:c r="L43" s="74"/>
      <x:c r="M43" s="74"/>
      <x:c r="N43" s="74"/>
      <x:c r="O43" s="74"/>
      <x:c r="P43" s="74"/>
      <x:c r="Q43" s="74"/>
      <x:c r="R43" s="74"/>
      <x:c r="S43" s="74"/>
      <x:c r="T43" s="74"/>
      <x:c r="U43" s="74"/>
      <x:c r="V43" s="74"/>
    </x:row>
    <x:row r="44">
      <x:c r="A44" s="74"/>
      <x:c r="B44" s="74"/>
      <x:c r="C44" s="74"/>
      <x:c r="D44" s="74"/>
      <x:c r="E44" s="74"/>
      <x:c r="F44" s="74"/>
      <x:c r="G44" s="74"/>
      <x:c r="H44" s="74"/>
      <x:c r="I44" s="74"/>
      <x:c r="J44" s="74"/>
      <x:c r="K44" s="74"/>
      <x:c r="L44" s="74"/>
      <x:c r="M44" s="74"/>
      <x:c r="N44" s="74"/>
      <x:c r="O44" s="74"/>
      <x:c r="P44" s="74"/>
      <x:c r="Q44" s="74"/>
      <x:c r="R44" s="74"/>
      <x:c r="S44" s="74"/>
      <x:c r="T44" s="74"/>
      <x:c r="U44" s="74"/>
      <x:c r="V44" s="74"/>
    </x:row>
    <x:row r="45">
      <x:c r="A45" s="74"/>
      <x:c r="B45" s="74"/>
      <x:c r="C45" s="74"/>
      <x:c r="D45" s="74"/>
      <x:c r="E45" s="74"/>
      <x:c r="F45" s="74"/>
      <x:c r="G45" s="74"/>
      <x:c r="H45" s="74"/>
      <x:c r="I45" s="74"/>
      <x:c r="J45" s="74"/>
      <x:c r="K45" s="74"/>
      <x:c r="L45" s="74"/>
      <x:c r="M45" s="74"/>
      <x:c r="N45" s="74"/>
      <x:c r="O45" s="74"/>
      <x:c r="P45" s="74"/>
      <x:c r="Q45" s="74"/>
      <x:c r="R45" s="74"/>
      <x:c r="S45" s="74"/>
      <x:c r="T45" s="74"/>
      <x:c r="U45" s="74"/>
      <x:c r="V45" s="74"/>
    </x:row>
    <x:row r="46">
      <x:c r="A46" s="74"/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4"/>
      <x:c r="M46" s="74"/>
      <x:c r="N46" s="74"/>
      <x:c r="O46" s="74"/>
      <x:c r="P46" s="74"/>
      <x:c r="Q46" s="74"/>
      <x:c r="R46" s="74"/>
      <x:c r="S46" s="74"/>
      <x:c r="T46" s="74"/>
      <x:c r="U46" s="74"/>
      <x:c r="V46" s="74"/>
    </x:row>
    <x:row r="47">
      <x:c r="A47" s="74"/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4"/>
      <x:c r="M47" s="74"/>
      <x:c r="N47" s="74"/>
      <x:c r="O47" s="74"/>
      <x:c r="P47" s="74"/>
      <x:c r="Q47" s="74"/>
      <x:c r="R47" s="74"/>
      <x:c r="S47" s="74"/>
      <x:c r="T47" s="74"/>
      <x:c r="U47" s="74"/>
      <x:c r="V47" s="74"/>
    </x:row>
    <x:row r="48">
      <x:c r="A48" s="74"/>
      <x:c r="B48" s="74"/>
      <x:c r="C48" s="74"/>
      <x:c r="D48" s="74"/>
      <x:c r="E48" s="74"/>
      <x:c r="F48" s="74"/>
      <x:c r="G48" s="74"/>
      <x:c r="H48" s="74"/>
      <x:c r="I48" s="74"/>
      <x:c r="J48" s="74"/>
      <x:c r="K48" s="74"/>
      <x:c r="L48" s="74"/>
      <x:c r="M48" s="74"/>
      <x:c r="N48" s="74"/>
      <x:c r="O48" s="74"/>
      <x:c r="P48" s="74"/>
      <x:c r="Q48" s="74"/>
      <x:c r="R48" s="74"/>
      <x:c r="S48" s="74"/>
      <x:c r="T48" s="74"/>
      <x:c r="U48" s="74"/>
      <x:c r="V48" s="74"/>
    </x:row>
    <x:row r="49">
      <x:c r="A49" s="74"/>
      <x:c r="B49" s="74"/>
      <x:c r="C49" s="74"/>
      <x:c r="D49" s="74"/>
      <x:c r="E49" s="74"/>
      <x:c r="F49" s="74"/>
      <x:c r="G49" s="74"/>
      <x:c r="H49" s="74"/>
      <x:c r="I49" s="74"/>
      <x:c r="J49" s="74"/>
      <x:c r="K49" s="74"/>
      <x:c r="L49" s="74"/>
      <x:c r="M49" s="74"/>
      <x:c r="N49" s="74"/>
      <x:c r="O49" s="74"/>
      <x:c r="P49" s="74"/>
      <x:c r="Q49" s="74"/>
      <x:c r="R49" s="74"/>
      <x:c r="S49" s="74"/>
      <x:c r="T49" s="74"/>
      <x:c r="U49" s="74"/>
      <x:c r="V49" s="74"/>
    </x:row>
    <x:row r="50">
      <x:c r="A50" s="74"/>
      <x:c r="B50" s="74"/>
      <x:c r="C50" s="74"/>
      <x:c r="D50" s="74"/>
      <x:c r="E50" s="74"/>
      <x:c r="F50" s="74"/>
      <x:c r="G50" s="74"/>
      <x:c r="H50" s="74"/>
      <x:c r="I50" s="74"/>
      <x:c r="J50" s="74"/>
      <x:c r="K50" s="74"/>
      <x:c r="L50" s="74"/>
      <x:c r="M50" s="74"/>
      <x:c r="N50" s="74"/>
      <x:c r="O50" s="74"/>
      <x:c r="P50" s="74"/>
      <x:c r="Q50" s="74"/>
      <x:c r="R50" s="74"/>
      <x:c r="S50" s="74"/>
      <x:c r="T50" s="74"/>
      <x:c r="U50" s="74"/>
      <x:c r="V50" s="74"/>
    </x:row>
    <x:row r="51">
      <x:c r="A51" s="74"/>
      <x:c r="B51" s="74"/>
      <x:c r="C51" s="74"/>
      <x:c r="D51" s="74"/>
      <x:c r="E51" s="74"/>
      <x:c r="F51" s="74"/>
      <x:c r="G51" s="74"/>
      <x:c r="H51" s="74"/>
      <x:c r="I51" s="74"/>
      <x:c r="J51" s="74"/>
      <x:c r="K51" s="74"/>
      <x:c r="L51" s="74"/>
      <x:c r="M51" s="74"/>
      <x:c r="N51" s="74"/>
      <x:c r="O51" s="74"/>
      <x:c r="P51" s="74"/>
      <x:c r="Q51" s="74"/>
      <x:c r="R51" s="74"/>
      <x:c r="S51" s="74"/>
      <x:c r="T51" s="74"/>
      <x:c r="U51" s="74"/>
      <x:c r="V51" s="74"/>
    </x:row>
    <x:row r="52">
      <x:c r="A52" s="74"/>
      <x:c r="B52" s="74"/>
      <x:c r="C52" s="74"/>
      <x:c r="D52" s="74"/>
      <x:c r="E52" s="74"/>
      <x:c r="F52" s="74"/>
      <x:c r="G52" s="74"/>
      <x:c r="H52" s="74"/>
      <x:c r="I52" s="74"/>
      <x:c r="J52" s="74"/>
      <x:c r="K52" s="74"/>
      <x:c r="L52" s="74"/>
      <x:c r="M52" s="74"/>
      <x:c r="N52" s="74"/>
      <x:c r="O52" s="74"/>
      <x:c r="P52" s="74"/>
      <x:c r="Q52" s="74"/>
      <x:c r="R52" s="74"/>
      <x:c r="S52" s="74"/>
      <x:c r="T52" s="74"/>
      <x:c r="U52" s="74"/>
      <x:c r="V52" s="74"/>
    </x:row>
    <x:row r="53">
      <x:c r="A53" s="74"/>
      <x:c r="B53" s="74"/>
      <x:c r="C53" s="74"/>
      <x:c r="D53" s="74"/>
      <x:c r="E53" s="74"/>
      <x:c r="F53" s="74"/>
      <x:c r="G53" s="74"/>
      <x:c r="H53" s="74"/>
      <x:c r="I53" s="74"/>
      <x:c r="J53" s="74"/>
      <x:c r="K53" s="74"/>
      <x:c r="L53" s="74"/>
      <x:c r="M53" s="74"/>
      <x:c r="N53" s="74"/>
      <x:c r="O53" s="74"/>
      <x:c r="P53" s="74"/>
      <x:c r="Q53" s="74"/>
      <x:c r="R53" s="74"/>
      <x:c r="S53" s="74"/>
      <x:c r="T53" s="74"/>
      <x:c r="U53" s="74"/>
      <x:c r="V53" s="74"/>
    </x:row>
    <x:row r="54">
      <x:c r="A54" s="74"/>
      <x:c r="B54" s="74"/>
      <x:c r="C54" s="74"/>
      <x:c r="D54" s="74"/>
      <x:c r="E54" s="74"/>
      <x:c r="F54" s="74"/>
      <x:c r="G54" s="74"/>
      <x:c r="H54" s="74"/>
      <x:c r="I54" s="74"/>
      <x:c r="J54" s="74"/>
      <x:c r="K54" s="74"/>
      <x:c r="L54" s="74"/>
      <x:c r="M54" s="74"/>
      <x:c r="N54" s="74"/>
      <x:c r="O54" s="74"/>
      <x:c r="P54" s="74"/>
      <x:c r="Q54" s="74"/>
      <x:c r="R54" s="74"/>
      <x:c r="S54" s="74"/>
      <x:c r="T54" s="74"/>
      <x:c r="U54" s="74"/>
      <x:c r="V54" s="74"/>
    </x:row>
    <x:row r="55">
      <x:c r="A55" s="74"/>
      <x:c r="B55" s="74"/>
      <x:c r="C55" s="74"/>
      <x:c r="D55" s="74"/>
      <x:c r="E55" s="74"/>
      <x:c r="F55" s="74"/>
      <x:c r="G55" s="74"/>
      <x:c r="H55" s="74"/>
      <x:c r="I55" s="74"/>
      <x:c r="J55" s="74"/>
      <x:c r="K55" s="74"/>
      <x:c r="L55" s="74"/>
      <x:c r="M55" s="74"/>
      <x:c r="N55" s="74"/>
      <x:c r="O55" s="74"/>
      <x:c r="P55" s="74"/>
      <x:c r="Q55" s="74"/>
      <x:c r="R55" s="74"/>
      <x:c r="S55" s="74"/>
      <x:c r="T55" s="74"/>
      <x:c r="U55" s="74"/>
      <x:c r="V55" s="74"/>
    </x:row>
    <x:row r="56">
      <x:c r="A56" s="74"/>
      <x:c r="B56" s="74"/>
      <x:c r="C56" s="74"/>
      <x:c r="D56" s="74"/>
      <x:c r="E56" s="74"/>
      <x:c r="F56" s="74"/>
      <x:c r="G56" s="74"/>
      <x:c r="H56" s="74"/>
      <x:c r="I56" s="74"/>
      <x:c r="J56" s="74"/>
      <x:c r="K56" s="74"/>
      <x:c r="L56" s="74"/>
      <x:c r="M56" s="74"/>
      <x:c r="N56" s="74"/>
      <x:c r="O56" s="74"/>
      <x:c r="P56" s="74"/>
      <x:c r="Q56" s="74"/>
      <x:c r="R56" s="74"/>
      <x:c r="S56" s="74"/>
      <x:c r="T56" s="74"/>
      <x:c r="U56" s="74"/>
      <x:c r="V56" s="74"/>
    </x:row>
    <x:row r="57">
      <x:c r="A57" s="74"/>
      <x:c r="B57" s="74"/>
      <x:c r="C57" s="74"/>
      <x:c r="D57" s="74"/>
      <x:c r="E57" s="74"/>
      <x:c r="F57" s="74"/>
      <x:c r="G57" s="74"/>
      <x:c r="H57" s="74"/>
      <x:c r="I57" s="74"/>
      <x:c r="J57" s="74"/>
      <x:c r="K57" s="74"/>
      <x:c r="L57" s="74"/>
      <x:c r="M57" s="74"/>
      <x:c r="N57" s="74"/>
      <x:c r="O57" s="74"/>
      <x:c r="P57" s="74"/>
      <x:c r="Q57" s="74"/>
      <x:c r="R57" s="74"/>
      <x:c r="S57" s="74"/>
      <x:c r="T57" s="74"/>
      <x:c r="U57" s="74"/>
      <x:c r="V57" s="74"/>
    </x:row>
    <x:row r="58">
      <x:c r="A58" s="74"/>
      <x:c r="B58" s="74"/>
      <x:c r="C58" s="74"/>
      <x:c r="D58" s="74"/>
      <x:c r="E58" s="74"/>
      <x:c r="F58" s="74"/>
      <x:c r="G58" s="74"/>
      <x:c r="H58" s="74"/>
      <x:c r="I58" s="74"/>
      <x:c r="J58" s="74"/>
      <x:c r="K58" s="74"/>
      <x:c r="L58" s="74"/>
      <x:c r="M58" s="74"/>
      <x:c r="N58" s="74"/>
      <x:c r="O58" s="74"/>
      <x:c r="P58" s="74"/>
      <x:c r="Q58" s="74"/>
      <x:c r="R58" s="74"/>
      <x:c r="S58" s="74"/>
      <x:c r="T58" s="74"/>
      <x:c r="U58" s="74"/>
      <x:c r="V58" s="74"/>
    </x:row>
    <x:row r="59">
      <x:c r="A59" s="74"/>
      <x:c r="B59" s="74"/>
      <x:c r="C59" s="74"/>
      <x:c r="D59" s="74"/>
      <x:c r="E59" s="74"/>
      <x:c r="F59" s="74"/>
      <x:c r="G59" s="74"/>
      <x:c r="H59" s="74"/>
      <x:c r="I59" s="74"/>
      <x:c r="J59" s="74"/>
      <x:c r="K59" s="74"/>
      <x:c r="L59" s="74"/>
      <x:c r="M59" s="74"/>
      <x:c r="N59" s="74"/>
      <x:c r="O59" s="74"/>
      <x:c r="P59" s="74"/>
      <x:c r="Q59" s="74"/>
      <x:c r="R59" s="74"/>
      <x:c r="S59" s="74"/>
      <x:c r="T59" s="74"/>
      <x:c r="U59" s="74"/>
      <x:c r="V59" s="74"/>
    </x:row>
    <x:row r="60">
      <x:c r="A60" s="74"/>
      <x:c r="B60" s="74"/>
      <x:c r="C60" s="74"/>
      <x:c r="D60" s="74"/>
      <x:c r="E60" s="74"/>
      <x:c r="F60" s="74"/>
      <x:c r="G60" s="74"/>
      <x:c r="H60" s="74"/>
      <x:c r="I60" s="74"/>
      <x:c r="J60" s="74"/>
      <x:c r="K60" s="74"/>
      <x:c r="L60" s="74"/>
      <x:c r="M60" s="74"/>
      <x:c r="N60" s="74"/>
      <x:c r="O60" s="74"/>
      <x:c r="P60" s="74"/>
      <x:c r="Q60" s="74"/>
      <x:c r="R60" s="74"/>
      <x:c r="S60" s="74"/>
      <x:c r="T60" s="74"/>
      <x:c r="U60" s="74"/>
      <x:c r="V60" s="74"/>
    </x:row>
    <x:row r="61">
      <x:c r="A61" s="74"/>
      <x:c r="B61" s="74"/>
      <x:c r="C61" s="74"/>
      <x:c r="D61" s="74"/>
      <x:c r="E61" s="74"/>
      <x:c r="F61" s="74"/>
      <x:c r="G61" s="74"/>
      <x:c r="H61" s="74"/>
      <x:c r="I61" s="74"/>
      <x:c r="J61" s="74"/>
      <x:c r="K61" s="74"/>
      <x:c r="L61" s="74"/>
      <x:c r="M61" s="74"/>
      <x:c r="N61" s="74"/>
      <x:c r="O61" s="74"/>
      <x:c r="P61" s="74"/>
      <x:c r="Q61" s="74"/>
      <x:c r="R61" s="74"/>
      <x:c r="S61" s="74"/>
      <x:c r="T61" s="74"/>
      <x:c r="U61" s="74"/>
      <x:c r="V61" s="74"/>
    </x:row>
    <x:row r="62">
      <x:c r="A62" s="74"/>
      <x:c r="B62" s="74"/>
      <x:c r="C62" s="74"/>
      <x:c r="D62" s="74"/>
      <x:c r="E62" s="74"/>
      <x:c r="F62" s="74"/>
      <x:c r="G62" s="74"/>
      <x:c r="H62" s="74"/>
      <x:c r="I62" s="74"/>
      <x:c r="J62" s="74"/>
      <x:c r="K62" s="74"/>
      <x:c r="L62" s="74"/>
      <x:c r="M62" s="74"/>
      <x:c r="N62" s="74"/>
      <x:c r="O62" s="74"/>
      <x:c r="P62" s="74"/>
      <x:c r="Q62" s="74"/>
      <x:c r="R62" s="74"/>
      <x:c r="S62" s="74"/>
      <x:c r="T62" s="74"/>
      <x:c r="U62" s="74"/>
      <x:c r="V62" s="74"/>
    </x:row>
    <x:row r="63">
      <x:c r="A63" s="74"/>
      <x:c r="B63" s="74"/>
      <x:c r="C63" s="74"/>
      <x:c r="D63" s="74"/>
      <x:c r="E63" s="74"/>
      <x:c r="F63" s="74"/>
      <x:c r="G63" s="74"/>
      <x:c r="H63" s="74"/>
      <x:c r="I63" s="74"/>
      <x:c r="J63" s="74"/>
      <x:c r="K63" s="74"/>
      <x:c r="L63" s="74"/>
      <x:c r="M63" s="74"/>
      <x:c r="N63" s="74"/>
      <x:c r="O63" s="74"/>
      <x:c r="P63" s="74"/>
      <x:c r="Q63" s="74"/>
      <x:c r="R63" s="74"/>
      <x:c r="S63" s="74"/>
      <x:c r="T63" s="74"/>
      <x:c r="U63" s="74"/>
      <x:c r="V63" s="74"/>
    </x:row>
    <x:row r="64">
      <x:c r="A64" s="74"/>
      <x:c r="B64" s="74"/>
      <x:c r="C64" s="74"/>
      <x:c r="D64" s="74"/>
      <x:c r="E64" s="74"/>
      <x:c r="F64" s="74"/>
      <x:c r="G64" s="74"/>
      <x:c r="H64" s="74"/>
      <x:c r="I64" s="74"/>
      <x:c r="J64" s="74"/>
      <x:c r="K64" s="74"/>
      <x:c r="L64" s="74"/>
      <x:c r="M64" s="74"/>
      <x:c r="N64" s="74"/>
      <x:c r="O64" s="74"/>
      <x:c r="P64" s="74"/>
      <x:c r="Q64" s="74"/>
      <x:c r="R64" s="74"/>
      <x:c r="S64" s="74"/>
      <x:c r="T64" s="74"/>
      <x:c r="U64" s="74"/>
      <x:c r="V64" s="74"/>
    </x:row>
    <x:row r="65">
      <x:c r="A65" s="74"/>
      <x:c r="B65" s="74"/>
      <x:c r="C65" s="74"/>
      <x:c r="D65" s="74"/>
      <x:c r="E65" s="74"/>
      <x:c r="F65" s="74"/>
      <x:c r="G65" s="74"/>
      <x:c r="H65" s="74"/>
      <x:c r="I65" s="74"/>
      <x:c r="J65" s="74"/>
      <x:c r="K65" s="74"/>
      <x:c r="L65" s="74"/>
      <x:c r="M65" s="74"/>
      <x:c r="N65" s="74"/>
      <x:c r="O65" s="74"/>
      <x:c r="P65" s="74"/>
      <x:c r="Q65" s="74"/>
      <x:c r="R65" s="74"/>
      <x:c r="S65" s="74"/>
      <x:c r="T65" s="74"/>
      <x:c r="U65" s="74"/>
      <x:c r="V65" s="74"/>
    </x:row>
    <x:row r="66">
      <x:c r="A66" s="74"/>
      <x:c r="B66" s="74"/>
      <x:c r="C66" s="74"/>
      <x:c r="D66" s="74"/>
      <x:c r="E66" s="74"/>
      <x:c r="F66" s="74"/>
      <x:c r="G66" s="74"/>
      <x:c r="H66" s="74"/>
      <x:c r="I66" s="74"/>
      <x:c r="J66" s="74"/>
      <x:c r="K66" s="74"/>
      <x:c r="L66" s="74"/>
      <x:c r="M66" s="74"/>
      <x:c r="N66" s="74"/>
      <x:c r="O66" s="74"/>
      <x:c r="P66" s="74"/>
      <x:c r="Q66" s="74"/>
      <x:c r="R66" s="74"/>
      <x:c r="S66" s="74"/>
      <x:c r="T66" s="74"/>
      <x:c r="U66" s="74"/>
      <x:c r="V66" s="74"/>
    </x:row>
    <x:row r="67">
      <x:c r="A67" s="74"/>
      <x:c r="B67" s="74"/>
      <x:c r="C67" s="74"/>
      <x:c r="D67" s="74"/>
      <x:c r="E67" s="74"/>
      <x:c r="F67" s="74"/>
      <x:c r="G67" s="74"/>
      <x:c r="H67" s="74"/>
      <x:c r="I67" s="74"/>
      <x:c r="J67" s="74"/>
      <x:c r="K67" s="74"/>
      <x:c r="L67" s="74"/>
      <x:c r="M67" s="74"/>
      <x:c r="N67" s="74"/>
      <x:c r="O67" s="74"/>
      <x:c r="P67" s="74"/>
      <x:c r="Q67" s="74"/>
      <x:c r="R67" s="74"/>
      <x:c r="S67" s="74"/>
      <x:c r="T67" s="74"/>
      <x:c r="U67" s="74"/>
      <x:c r="V67" s="74"/>
    </x:row>
    <x:row r="68">
      <x:c r="A68" s="74"/>
      <x:c r="B68" s="74"/>
      <x:c r="C68" s="74"/>
      <x:c r="D68" s="74"/>
      <x:c r="E68" s="74"/>
      <x:c r="F68" s="74"/>
      <x:c r="G68" s="74"/>
      <x:c r="H68" s="74"/>
      <x:c r="I68" s="74"/>
      <x:c r="J68" s="74"/>
      <x:c r="K68" s="74"/>
      <x:c r="L68" s="74"/>
      <x:c r="M68" s="74"/>
      <x:c r="N68" s="74"/>
      <x:c r="O68" s="74"/>
      <x:c r="P68" s="74"/>
      <x:c r="Q68" s="74"/>
      <x:c r="R68" s="74"/>
      <x:c r="S68" s="74"/>
      <x:c r="T68" s="74"/>
      <x:c r="U68" s="74"/>
      <x:c r="V68" s="74"/>
    </x:row>
    <x:row r="69">
      <x:c r="A69" s="74"/>
      <x:c r="B69" s="74"/>
      <x:c r="C69" s="74"/>
      <x:c r="D69" s="74"/>
      <x:c r="E69" s="74"/>
      <x:c r="F69" s="74"/>
      <x:c r="G69" s="74"/>
      <x:c r="H69" s="74"/>
      <x:c r="I69" s="74"/>
      <x:c r="J69" s="74"/>
      <x:c r="K69" s="74"/>
      <x:c r="L69" s="74"/>
      <x:c r="M69" s="74"/>
      <x:c r="N69" s="74"/>
      <x:c r="O69" s="74"/>
      <x:c r="P69" s="74"/>
      <x:c r="Q69" s="74"/>
      <x:c r="R69" s="74"/>
      <x:c r="S69" s="74"/>
      <x:c r="T69" s="74"/>
      <x:c r="U69" s="74"/>
      <x:c r="V69" s="74"/>
    </x:row>
    <x:row r="70">
      <x:c r="A70" s="74"/>
      <x:c r="B70" s="74"/>
      <x:c r="C70" s="74"/>
      <x:c r="D70" s="74"/>
      <x:c r="E70" s="74"/>
      <x:c r="F70" s="74"/>
      <x:c r="G70" s="74"/>
      <x:c r="H70" s="74"/>
      <x:c r="I70" s="74"/>
      <x:c r="J70" s="74"/>
      <x:c r="K70" s="74"/>
      <x:c r="L70" s="74"/>
      <x:c r="M70" s="74"/>
      <x:c r="N70" s="74"/>
      <x:c r="O70" s="74"/>
      <x:c r="P70" s="74"/>
      <x:c r="Q70" s="74"/>
      <x:c r="R70" s="74"/>
      <x:c r="S70" s="74"/>
      <x:c r="T70" s="74"/>
      <x:c r="U70" s="74"/>
      <x:c r="V70" s="74"/>
    </x:row>
    <x:row r="71">
      <x:c r="A71" s="74"/>
      <x:c r="B71" s="74"/>
      <x:c r="C71" s="74"/>
      <x:c r="D71" s="74"/>
      <x:c r="E71" s="74"/>
      <x:c r="F71" s="74"/>
      <x:c r="G71" s="74"/>
      <x:c r="H71" s="74"/>
      <x:c r="I71" s="74"/>
      <x:c r="J71" s="74"/>
      <x:c r="K71" s="74"/>
      <x:c r="L71" s="74"/>
      <x:c r="M71" s="74"/>
      <x:c r="N71" s="74"/>
      <x:c r="O71" s="74"/>
      <x:c r="P71" s="74"/>
      <x:c r="Q71" s="74"/>
      <x:c r="R71" s="74"/>
      <x:c r="S71" s="74"/>
      <x:c r="T71" s="74"/>
      <x:c r="U71" s="74"/>
      <x:c r="V71" s="74"/>
    </x:row>
    <x:row r="72">
      <x:c r="A72" s="74"/>
      <x:c r="B72" s="74"/>
      <x:c r="C72" s="74"/>
      <x:c r="D72" s="74"/>
      <x:c r="E72" s="74"/>
      <x:c r="F72" s="74"/>
      <x:c r="G72" s="74"/>
      <x:c r="H72" s="74"/>
      <x:c r="I72" s="74"/>
      <x:c r="J72" s="74"/>
      <x:c r="K72" s="74"/>
      <x:c r="L72" s="74"/>
      <x:c r="M72" s="74"/>
      <x:c r="N72" s="74"/>
      <x:c r="O72" s="74"/>
      <x:c r="P72" s="74"/>
      <x:c r="Q72" s="74"/>
      <x:c r="R72" s="74"/>
      <x:c r="S72" s="74"/>
      <x:c r="T72" s="74"/>
      <x:c r="U72" s="74"/>
      <x:c r="V72" s="74"/>
    </x:row>
    <x:row r="73">
      <x:c r="A73" s="74"/>
      <x:c r="B73" s="74"/>
      <x:c r="C73" s="74"/>
      <x:c r="D73" s="74"/>
      <x:c r="E73" s="74"/>
      <x:c r="F73" s="74"/>
      <x:c r="G73" s="74"/>
      <x:c r="H73" s="74"/>
      <x:c r="I73" s="74"/>
      <x:c r="J73" s="74"/>
      <x:c r="K73" s="74"/>
      <x:c r="L73" s="74"/>
      <x:c r="M73" s="74"/>
      <x:c r="N73" s="74"/>
      <x:c r="O73" s="74"/>
      <x:c r="P73" s="74"/>
      <x:c r="Q73" s="74"/>
      <x:c r="R73" s="74"/>
      <x:c r="S73" s="74"/>
      <x:c r="T73" s="74"/>
      <x:c r="U73" s="74"/>
      <x:c r="V73" s="74"/>
    </x:row>
    <x:row r="74">
      <x:c r="A74" s="74"/>
      <x:c r="B74" s="74"/>
      <x:c r="C74" s="74"/>
      <x:c r="D74" s="74"/>
      <x:c r="E74" s="74"/>
      <x:c r="F74" s="74"/>
      <x:c r="G74" s="74"/>
      <x:c r="H74" s="74"/>
      <x:c r="I74" s="74"/>
      <x:c r="J74" s="74"/>
      <x:c r="K74" s="74"/>
      <x:c r="L74" s="74"/>
      <x:c r="M74" s="74"/>
      <x:c r="N74" s="74"/>
      <x:c r="O74" s="74"/>
      <x:c r="P74" s="74"/>
      <x:c r="Q74" s="74"/>
      <x:c r="R74" s="74"/>
      <x:c r="S74" s="74"/>
      <x:c r="T74" s="74"/>
      <x:c r="U74" s="74"/>
      <x:c r="V74" s="74"/>
    </x:row>
    <x:row r="75">
      <x:c r="A75" s="74"/>
      <x:c r="B75" s="74"/>
      <x:c r="C75" s="74"/>
      <x:c r="D75" s="74"/>
      <x:c r="E75" s="74"/>
      <x:c r="F75" s="74"/>
      <x:c r="G75" s="74"/>
      <x:c r="H75" s="74"/>
      <x:c r="I75" s="74"/>
      <x:c r="J75" s="74"/>
      <x:c r="K75" s="74"/>
      <x:c r="L75" s="74"/>
      <x:c r="M75" s="74"/>
      <x:c r="N75" s="74"/>
      <x:c r="O75" s="74"/>
      <x:c r="P75" s="74"/>
      <x:c r="Q75" s="74"/>
      <x:c r="R75" s="74"/>
      <x:c r="S75" s="74"/>
      <x:c r="T75" s="74"/>
      <x:c r="U75" s="74"/>
      <x:c r="V75" s="74"/>
    </x:row>
    <x:row r="76">
      <x:c r="A76" s="74"/>
      <x:c r="B76" s="74"/>
      <x:c r="C76" s="74"/>
      <x:c r="D76" s="74"/>
      <x:c r="E76" s="74"/>
      <x:c r="F76" s="74"/>
      <x:c r="G76" s="74"/>
      <x:c r="H76" s="74"/>
      <x:c r="I76" s="74"/>
      <x:c r="J76" s="74"/>
      <x:c r="K76" s="74"/>
      <x:c r="L76" s="74"/>
      <x:c r="M76" s="74"/>
      <x:c r="N76" s="74"/>
      <x:c r="O76" s="74"/>
      <x:c r="P76" s="74"/>
      <x:c r="Q76" s="74"/>
      <x:c r="R76" s="74"/>
      <x:c r="S76" s="74"/>
      <x:c r="T76" s="74"/>
      <x:c r="U76" s="74"/>
      <x:c r="V76" s="74"/>
    </x:row>
    <x:row r="77">
      <x:c r="A77" s="74"/>
      <x:c r="B77" s="74"/>
      <x:c r="C77" s="74"/>
      <x:c r="D77" s="74"/>
      <x:c r="E77" s="74"/>
      <x:c r="F77" s="74"/>
      <x:c r="G77" s="74"/>
      <x:c r="H77" s="74"/>
      <x:c r="I77" s="74"/>
      <x:c r="J77" s="74"/>
      <x:c r="K77" s="74"/>
      <x:c r="L77" s="74"/>
      <x:c r="M77" s="74"/>
      <x:c r="N77" s="74"/>
      <x:c r="O77" s="74"/>
      <x:c r="P77" s="74"/>
      <x:c r="Q77" s="74"/>
      <x:c r="R77" s="74"/>
      <x:c r="S77" s="74"/>
      <x:c r="T77" s="74"/>
      <x:c r="U77" s="74"/>
      <x:c r="V77" s="74"/>
    </x:row>
    <x:row r="78">
      <x:c r="A78" s="74"/>
      <x:c r="B78" s="74"/>
      <x:c r="C78" s="74"/>
      <x:c r="D78" s="74"/>
      <x:c r="E78" s="74"/>
      <x:c r="F78" s="74"/>
      <x:c r="G78" s="74"/>
      <x:c r="H78" s="74"/>
      <x:c r="I78" s="74"/>
      <x:c r="J78" s="74"/>
      <x:c r="K78" s="74"/>
      <x:c r="L78" s="74"/>
      <x:c r="M78" s="74"/>
      <x:c r="N78" s="74"/>
      <x:c r="O78" s="74"/>
      <x:c r="P78" s="74"/>
      <x:c r="Q78" s="74"/>
      <x:c r="R78" s="74"/>
      <x:c r="S78" s="74"/>
      <x:c r="T78" s="74"/>
      <x:c r="U78" s="74"/>
      <x:c r="V78" s="74"/>
    </x:row>
    <x:row r="79">
      <x:c r="A79" s="74"/>
      <x:c r="B79" s="74"/>
      <x:c r="C79" s="74"/>
      <x:c r="D79" s="74"/>
      <x:c r="E79" s="74"/>
      <x:c r="F79" s="74"/>
      <x:c r="G79" s="74"/>
      <x:c r="H79" s="74"/>
      <x:c r="I79" s="74"/>
      <x:c r="J79" s="74"/>
      <x:c r="K79" s="74"/>
      <x:c r="L79" s="74"/>
      <x:c r="M79" s="74"/>
      <x:c r="N79" s="74"/>
      <x:c r="O79" s="74"/>
      <x:c r="P79" s="74"/>
      <x:c r="Q79" s="74"/>
      <x:c r="R79" s="74"/>
      <x:c r="S79" s="74"/>
      <x:c r="T79" s="74"/>
      <x:c r="U79" s="74"/>
      <x:c r="V79" s="74"/>
    </x:row>
    <x:row r="80">
      <x:c r="A80" s="74"/>
      <x:c r="B80" s="74"/>
      <x:c r="C80" s="74"/>
      <x:c r="D80" s="74"/>
      <x:c r="E80" s="74"/>
      <x:c r="F80" s="74"/>
      <x:c r="G80" s="74"/>
      <x:c r="H80" s="74"/>
      <x:c r="I80" s="74"/>
      <x:c r="J80" s="74"/>
      <x:c r="K80" s="74"/>
      <x:c r="L80" s="74"/>
      <x:c r="M80" s="74"/>
      <x:c r="N80" s="74"/>
      <x:c r="O80" s="74"/>
      <x:c r="P80" s="74"/>
      <x:c r="Q80" s="74"/>
      <x:c r="R80" s="74"/>
      <x:c r="S80" s="74"/>
      <x:c r="T80" s="74"/>
      <x:c r="U80" s="74"/>
      <x:c r="V80" s="74"/>
    </x:row>
    <x:row r="81">
      <x:c r="A81" s="74"/>
      <x:c r="B81" s="74"/>
      <x:c r="C81" s="74"/>
      <x:c r="D81" s="74"/>
      <x:c r="E81" s="74"/>
      <x:c r="F81" s="74"/>
      <x:c r="G81" s="74"/>
      <x:c r="H81" s="74"/>
      <x:c r="I81" s="74"/>
      <x:c r="J81" s="74"/>
      <x:c r="K81" s="74"/>
      <x:c r="L81" s="74"/>
      <x:c r="M81" s="74"/>
      <x:c r="N81" s="74"/>
      <x:c r="O81" s="74"/>
      <x:c r="P81" s="74"/>
      <x:c r="Q81" s="74"/>
      <x:c r="R81" s="74"/>
      <x:c r="S81" s="74"/>
      <x:c r="T81" s="74"/>
      <x:c r="U81" s="74"/>
      <x:c r="V81" s="74"/>
    </x:row>
    <x:row r="82">
      <x:c r="A82" s="74"/>
      <x:c r="B82" s="74"/>
      <x:c r="C82" s="74"/>
      <x:c r="D82" s="74"/>
      <x:c r="E82" s="74"/>
      <x:c r="F82" s="74"/>
      <x:c r="G82" s="74"/>
      <x:c r="H82" s="74"/>
      <x:c r="I82" s="74"/>
      <x:c r="J82" s="74"/>
      <x:c r="K82" s="74"/>
      <x:c r="L82" s="74"/>
      <x:c r="M82" s="74"/>
      <x:c r="N82" s="74"/>
      <x:c r="O82" s="74"/>
      <x:c r="P82" s="74"/>
      <x:c r="Q82" s="74"/>
      <x:c r="R82" s="74"/>
      <x:c r="S82" s="74"/>
      <x:c r="T82" s="74"/>
      <x:c r="U82" s="74"/>
      <x:c r="V82" s="74"/>
    </x:row>
    <x:row r="83">
      <x:c r="A83" s="74"/>
      <x:c r="B83" s="74"/>
      <x:c r="C83" s="74"/>
      <x:c r="D83" s="74"/>
      <x:c r="E83" s="74"/>
      <x:c r="F83" s="74"/>
      <x:c r="G83" s="74"/>
      <x:c r="H83" s="74"/>
      <x:c r="I83" s="74"/>
      <x:c r="J83" s="74"/>
      <x:c r="K83" s="74"/>
      <x:c r="L83" s="74"/>
      <x:c r="M83" s="74"/>
      <x:c r="N83" s="74"/>
      <x:c r="O83" s="74"/>
      <x:c r="P83" s="74"/>
      <x:c r="Q83" s="74"/>
      <x:c r="R83" s="74"/>
      <x:c r="S83" s="74"/>
      <x:c r="T83" s="74"/>
      <x:c r="U83" s="74"/>
      <x:c r="V83" s="74"/>
    </x:row>
    <x:row r="84">
      <x:c r="A84" s="74"/>
      <x:c r="B84" s="74"/>
      <x:c r="C84" s="74"/>
      <x:c r="D84" s="74"/>
      <x:c r="E84" s="74"/>
      <x:c r="F84" s="74"/>
      <x:c r="G84" s="74"/>
      <x:c r="H84" s="74"/>
      <x:c r="I84" s="74"/>
      <x:c r="J84" s="74"/>
      <x:c r="K84" s="74"/>
      <x:c r="L84" s="74"/>
      <x:c r="M84" s="74"/>
      <x:c r="N84" s="74"/>
      <x:c r="O84" s="74"/>
      <x:c r="P84" s="74"/>
      <x:c r="Q84" s="74"/>
      <x:c r="R84" s="74"/>
      <x:c r="S84" s="74"/>
      <x:c r="T84" s="74"/>
      <x:c r="U84" s="74"/>
      <x:c r="V84" s="74"/>
    </x:row>
    <x:row r="85">
      <x:c r="A85" s="74"/>
      <x:c r="B85" s="74"/>
      <x:c r="C85" s="74"/>
      <x:c r="D85" s="74"/>
      <x:c r="E85" s="74"/>
      <x:c r="F85" s="74"/>
      <x:c r="G85" s="74"/>
      <x:c r="H85" s="74"/>
      <x:c r="I85" s="74"/>
      <x:c r="J85" s="74"/>
      <x:c r="K85" s="74"/>
      <x:c r="L85" s="74"/>
      <x:c r="M85" s="74"/>
      <x:c r="N85" s="74"/>
      <x:c r="O85" s="74"/>
      <x:c r="P85" s="74"/>
      <x:c r="Q85" s="74"/>
      <x:c r="R85" s="74"/>
      <x:c r="S85" s="74"/>
      <x:c r="T85" s="74"/>
      <x:c r="U85" s="74"/>
      <x:c r="V85" s="74"/>
    </x:row>
    <x:row r="86">
      <x:c r="A86" s="74"/>
      <x:c r="B86" s="74"/>
      <x:c r="C86" s="74"/>
      <x:c r="D86" s="74"/>
      <x:c r="E86" s="74"/>
      <x:c r="F86" s="74"/>
      <x:c r="G86" s="74"/>
      <x:c r="H86" s="74"/>
      <x:c r="I86" s="74"/>
      <x:c r="J86" s="74"/>
      <x:c r="K86" s="74"/>
      <x:c r="L86" s="74"/>
      <x:c r="M86" s="74"/>
      <x:c r="N86" s="74"/>
      <x:c r="O86" s="74"/>
      <x:c r="P86" s="74"/>
      <x:c r="Q86" s="74"/>
      <x:c r="R86" s="74"/>
      <x:c r="S86" s="74"/>
      <x:c r="T86" s="74"/>
      <x:c r="U86" s="74"/>
      <x:c r="V86" s="74"/>
    </x:row>
    <x:row r="87">
      <x:c r="A87" s="74"/>
      <x:c r="B87" s="74"/>
      <x:c r="C87" s="74"/>
      <x:c r="D87" s="74"/>
      <x:c r="E87" s="74"/>
      <x:c r="F87" s="74"/>
      <x:c r="G87" s="74"/>
      <x:c r="H87" s="74"/>
      <x:c r="I87" s="74"/>
      <x:c r="J87" s="74"/>
      <x:c r="K87" s="74"/>
      <x:c r="L87" s="74"/>
      <x:c r="M87" s="74"/>
      <x:c r="N87" s="74"/>
      <x:c r="O87" s="74"/>
      <x:c r="P87" s="74"/>
      <x:c r="Q87" s="74"/>
      <x:c r="R87" s="74"/>
      <x:c r="S87" s="74"/>
      <x:c r="T87" s="74"/>
      <x:c r="U87" s="74"/>
      <x:c r="V87" s="74"/>
    </x:row>
    <x:row r="88">
      <x:c r="A88" s="74"/>
      <x:c r="B88" s="74"/>
      <x:c r="C88" s="74"/>
      <x:c r="D88" s="74"/>
      <x:c r="E88" s="74"/>
      <x:c r="F88" s="74"/>
      <x:c r="G88" s="74"/>
      <x:c r="H88" s="74"/>
      <x:c r="I88" s="74"/>
      <x:c r="J88" s="74"/>
      <x:c r="K88" s="74"/>
      <x:c r="L88" s="74"/>
      <x:c r="M88" s="74"/>
      <x:c r="N88" s="74"/>
      <x:c r="O88" s="74"/>
      <x:c r="P88" s="74"/>
      <x:c r="Q88" s="74"/>
      <x:c r="R88" s="74"/>
      <x:c r="S88" s="74"/>
      <x:c r="T88" s="74"/>
      <x:c r="U88" s="74"/>
      <x:c r="V88" s="74"/>
    </x:row>
    <x:row r="89">
      <x:c r="A89" s="74"/>
      <x:c r="B89" s="74"/>
      <x:c r="C89" s="74"/>
      <x:c r="D89" s="74"/>
      <x:c r="E89" s="74"/>
      <x:c r="F89" s="74"/>
      <x:c r="G89" s="74"/>
      <x:c r="H89" s="74"/>
      <x:c r="I89" s="74"/>
      <x:c r="J89" s="74"/>
      <x:c r="K89" s="74"/>
      <x:c r="L89" s="74"/>
      <x:c r="M89" s="74"/>
      <x:c r="N89" s="74"/>
      <x:c r="O89" s="74"/>
      <x:c r="P89" s="74"/>
      <x:c r="Q89" s="74"/>
      <x:c r="R89" s="74"/>
      <x:c r="S89" s="74"/>
      <x:c r="T89" s="74"/>
      <x:c r="U89" s="74"/>
      <x:c r="V89" s="74"/>
    </x:row>
    <x:row r="90">
      <x:c r="A90" s="74"/>
      <x:c r="B90" s="74"/>
      <x:c r="C90" s="74"/>
      <x:c r="D90" s="74"/>
      <x:c r="E90" s="74"/>
      <x:c r="F90" s="74"/>
      <x:c r="G90" s="74"/>
      <x:c r="H90" s="74"/>
      <x:c r="I90" s="74"/>
      <x:c r="J90" s="74"/>
      <x:c r="K90" s="74"/>
      <x:c r="L90" s="74"/>
      <x:c r="M90" s="74"/>
      <x:c r="N90" s="74"/>
      <x:c r="O90" s="74"/>
      <x:c r="P90" s="74"/>
      <x:c r="Q90" s="74"/>
      <x:c r="R90" s="74"/>
      <x:c r="S90" s="74"/>
      <x:c r="T90" s="74"/>
      <x:c r="U90" s="74"/>
      <x:c r="V90" s="74"/>
    </x:row>
    <x:row r="91">
      <x:c r="A91" s="74"/>
      <x:c r="B91" s="74"/>
      <x:c r="C91" s="74"/>
      <x:c r="D91" s="74"/>
      <x:c r="E91" s="74"/>
      <x:c r="F91" s="74"/>
      <x:c r="G91" s="74"/>
      <x:c r="H91" s="74"/>
      <x:c r="I91" s="74"/>
      <x:c r="J91" s="74"/>
      <x:c r="K91" s="74"/>
      <x:c r="L91" s="74"/>
      <x:c r="M91" s="74"/>
      <x:c r="N91" s="74"/>
      <x:c r="O91" s="74"/>
      <x:c r="P91" s="74"/>
      <x:c r="Q91" s="74"/>
      <x:c r="R91" s="74"/>
      <x:c r="S91" s="74"/>
      <x:c r="T91" s="74"/>
      <x:c r="U91" s="74"/>
      <x:c r="V91" s="74"/>
    </x:row>
    <x:row r="92">
      <x:c r="A92" s="74"/>
      <x:c r="B92" s="74"/>
      <x:c r="C92" s="74"/>
      <x:c r="D92" s="74"/>
      <x:c r="E92" s="74"/>
      <x:c r="F92" s="74"/>
      <x:c r="G92" s="74"/>
      <x:c r="H92" s="74"/>
      <x:c r="I92" s="74"/>
      <x:c r="J92" s="74"/>
      <x:c r="K92" s="74"/>
      <x:c r="L92" s="74"/>
      <x:c r="M92" s="74"/>
      <x:c r="N92" s="74"/>
      <x:c r="O92" s="74"/>
      <x:c r="P92" s="74"/>
      <x:c r="Q92" s="74"/>
      <x:c r="R92" s="74"/>
      <x:c r="S92" s="74"/>
      <x:c r="T92" s="74"/>
      <x:c r="U92" s="74"/>
      <x:c r="V92" s="74"/>
    </x:row>
    <x:row r="93">
      <x:c r="A93" s="74"/>
      <x:c r="B93" s="74"/>
      <x:c r="C93" s="74"/>
      <x:c r="D93" s="74"/>
      <x:c r="E93" s="74"/>
      <x:c r="F93" s="74"/>
      <x:c r="G93" s="74"/>
      <x:c r="H93" s="74"/>
      <x:c r="I93" s="74"/>
      <x:c r="J93" s="74"/>
      <x:c r="K93" s="74"/>
      <x:c r="L93" s="74"/>
      <x:c r="M93" s="74"/>
      <x:c r="N93" s="74"/>
      <x:c r="O93" s="74"/>
      <x:c r="P93" s="74"/>
      <x:c r="Q93" s="74"/>
      <x:c r="R93" s="74"/>
      <x:c r="S93" s="74"/>
      <x:c r="T93" s="74"/>
      <x:c r="U93" s="74"/>
      <x:c r="V93" s="74"/>
    </x:row>
    <x:row r="94">
      <x:c r="A94" s="74"/>
      <x:c r="B94" s="74"/>
      <x:c r="C94" s="74"/>
      <x:c r="D94" s="74"/>
      <x:c r="E94" s="74"/>
      <x:c r="F94" s="74"/>
      <x:c r="G94" s="74"/>
      <x:c r="H94" s="74"/>
      <x:c r="I94" s="74"/>
      <x:c r="J94" s="74"/>
      <x:c r="K94" s="74"/>
      <x:c r="L94" s="74"/>
      <x:c r="M94" s="74"/>
      <x:c r="N94" s="74"/>
      <x:c r="O94" s="74"/>
      <x:c r="P94" s="74"/>
      <x:c r="Q94" s="74"/>
      <x:c r="R94" s="74"/>
      <x:c r="S94" s="74"/>
      <x:c r="T94" s="74"/>
      <x:c r="U94" s="74"/>
      <x:c r="V94" s="74"/>
    </x:row>
    <x:row r="95">
      <x:c r="A95" s="74"/>
      <x:c r="B95" s="74"/>
      <x:c r="C95" s="74"/>
      <x:c r="D95" s="74"/>
      <x:c r="E95" s="74"/>
      <x:c r="F95" s="74"/>
      <x:c r="G95" s="74"/>
      <x:c r="H95" s="74"/>
      <x:c r="I95" s="74"/>
      <x:c r="J95" s="74"/>
      <x:c r="K95" s="74"/>
      <x:c r="L95" s="74"/>
      <x:c r="M95" s="74"/>
      <x:c r="N95" s="74"/>
      <x:c r="O95" s="74"/>
      <x:c r="P95" s="74"/>
      <x:c r="Q95" s="74"/>
      <x:c r="R95" s="74"/>
      <x:c r="S95" s="74"/>
      <x:c r="T95" s="74"/>
      <x:c r="U95" s="74"/>
      <x:c r="V95" s="74"/>
    </x:row>
    <x:row r="96">
      <x:c r="A96" s="74"/>
      <x:c r="B96" s="74"/>
      <x:c r="C96" s="74"/>
      <x:c r="D96" s="74"/>
      <x:c r="E96" s="74"/>
      <x:c r="F96" s="74"/>
      <x:c r="G96" s="74"/>
      <x:c r="H96" s="74"/>
      <x:c r="I96" s="74"/>
      <x:c r="J96" s="74"/>
      <x:c r="K96" s="74"/>
      <x:c r="L96" s="74"/>
      <x:c r="M96" s="74"/>
      <x:c r="N96" s="74"/>
      <x:c r="O96" s="74"/>
      <x:c r="P96" s="74"/>
      <x:c r="Q96" s="74"/>
      <x:c r="R96" s="74"/>
      <x:c r="S96" s="74"/>
      <x:c r="T96" s="74"/>
      <x:c r="U96" s="74"/>
      <x:c r="V96" s="74"/>
    </x:row>
    <x:row r="97">
      <x:c r="A97" s="74"/>
      <x:c r="B97" s="74"/>
      <x:c r="C97" s="74"/>
      <x:c r="D97" s="74"/>
      <x:c r="E97" s="74"/>
      <x:c r="F97" s="74"/>
      <x:c r="G97" s="74"/>
      <x:c r="H97" s="74"/>
      <x:c r="I97" s="74"/>
      <x:c r="J97" s="74"/>
      <x:c r="K97" s="74"/>
      <x:c r="L97" s="74"/>
      <x:c r="M97" s="74"/>
      <x:c r="N97" s="74"/>
      <x:c r="O97" s="74"/>
      <x:c r="P97" s="74"/>
      <x:c r="Q97" s="74"/>
      <x:c r="R97" s="74"/>
      <x:c r="S97" s="74"/>
      <x:c r="T97" s="74"/>
      <x:c r="U97" s="74"/>
      <x:c r="V97" s="74"/>
    </x:row>
    <x:row r="98">
      <x:c r="A98" s="74"/>
      <x:c r="B98" s="74"/>
      <x:c r="C98" s="74"/>
      <x:c r="D98" s="74"/>
      <x:c r="E98" s="74"/>
      <x:c r="F98" s="74"/>
      <x:c r="G98" s="74"/>
      <x:c r="H98" s="74"/>
      <x:c r="I98" s="74"/>
      <x:c r="J98" s="74"/>
      <x:c r="K98" s="74"/>
      <x:c r="L98" s="74"/>
      <x:c r="M98" s="74"/>
      <x:c r="N98" s="74"/>
      <x:c r="O98" s="74"/>
      <x:c r="P98" s="74"/>
      <x:c r="Q98" s="74"/>
      <x:c r="R98" s="74"/>
      <x:c r="S98" s="74"/>
      <x:c r="T98" s="74"/>
      <x:c r="U98" s="74"/>
      <x:c r="V98" s="74"/>
    </x:row>
    <x:row r="99">
      <x:c r="A99" s="74"/>
      <x:c r="B99" s="74"/>
      <x:c r="C99" s="74"/>
      <x:c r="D99" s="74"/>
      <x:c r="E99" s="74"/>
      <x:c r="F99" s="74"/>
      <x:c r="G99" s="74"/>
      <x:c r="H99" s="74"/>
      <x:c r="I99" s="74"/>
      <x:c r="J99" s="74"/>
      <x:c r="K99" s="74"/>
      <x:c r="L99" s="74"/>
      <x:c r="M99" s="74"/>
      <x:c r="N99" s="74"/>
      <x:c r="O99" s="74"/>
      <x:c r="P99" s="74"/>
      <x:c r="Q99" s="74"/>
      <x:c r="R99" s="74"/>
      <x:c r="S99" s="74"/>
      <x:c r="T99" s="74"/>
      <x:c r="U99" s="74"/>
      <x:c r="V99" s="74"/>
    </x:row>
    <x:row r="100">
      <x:c r="A100" s="74"/>
      <x:c r="B100" s="74"/>
      <x:c r="C100" s="74"/>
      <x:c r="D100" s="74"/>
      <x:c r="E100" s="74"/>
      <x:c r="F100" s="74"/>
      <x:c r="G100" s="74"/>
      <x:c r="H100" s="74"/>
      <x:c r="I100" s="74"/>
      <x:c r="J100" s="74"/>
      <x:c r="K100" s="74"/>
      <x:c r="L100" s="74"/>
      <x:c r="M100" s="74"/>
      <x:c r="N100" s="74"/>
      <x:c r="O100" s="74"/>
      <x:c r="P100" s="74"/>
      <x:c r="Q100" s="74"/>
      <x:c r="R100" s="74"/>
      <x:c r="S100" s="74"/>
      <x:c r="T100" s="74"/>
      <x:c r="U100" s="74"/>
      <x:c r="V100" s="74"/>
    </x:row>
    <x:row r="101">
      <x:c r="A101" s="74"/>
      <x:c r="B101" s="74"/>
      <x:c r="C101" s="74"/>
      <x:c r="D101" s="74"/>
      <x:c r="E101" s="74"/>
      <x:c r="F101" s="74"/>
      <x:c r="G101" s="74"/>
      <x:c r="H101" s="74"/>
      <x:c r="I101" s="74"/>
      <x:c r="J101" s="74"/>
      <x:c r="K101" s="74"/>
      <x:c r="L101" s="74"/>
      <x:c r="M101" s="74"/>
      <x:c r="N101" s="74"/>
      <x:c r="O101" s="74"/>
      <x:c r="P101" s="74"/>
      <x:c r="Q101" s="74"/>
      <x:c r="R101" s="74"/>
      <x:c r="S101" s="74"/>
      <x:c r="T101" s="74"/>
      <x:c r="U101" s="74"/>
      <x:c r="V101" s="74"/>
    </x:row>
    <x:row r="102">
      <x:c r="A102" s="74"/>
      <x:c r="B102" s="74"/>
      <x:c r="C102" s="74"/>
      <x:c r="D102" s="74"/>
      <x:c r="E102" s="74"/>
      <x:c r="F102" s="74"/>
      <x:c r="G102" s="74"/>
      <x:c r="H102" s="74"/>
      <x:c r="I102" s="74"/>
      <x:c r="J102" s="74"/>
      <x:c r="K102" s="74"/>
      <x:c r="L102" s="74"/>
      <x:c r="M102" s="74"/>
      <x:c r="N102" s="74"/>
      <x:c r="O102" s="74"/>
      <x:c r="P102" s="74"/>
      <x:c r="Q102" s="74"/>
      <x:c r="R102" s="74"/>
      <x:c r="S102" s="74"/>
      <x:c r="T102" s="74"/>
      <x:c r="U102" s="74"/>
      <x:c r="V102" s="74"/>
    </x:row>
    <x:row r="103">
      <x:c r="A103" s="74"/>
      <x:c r="B103" s="74"/>
      <x:c r="C103" s="74"/>
      <x:c r="D103" s="74"/>
      <x:c r="E103" s="74"/>
      <x:c r="F103" s="74"/>
      <x:c r="G103" s="74"/>
      <x:c r="H103" s="74"/>
      <x:c r="I103" s="74"/>
      <x:c r="J103" s="74"/>
      <x:c r="K103" s="74"/>
      <x:c r="L103" s="74"/>
      <x:c r="M103" s="74"/>
      <x:c r="N103" s="74"/>
      <x:c r="O103" s="74"/>
      <x:c r="P103" s="74"/>
      <x:c r="Q103" s="74"/>
      <x:c r="R103" s="74"/>
      <x:c r="S103" s="74"/>
      <x:c r="T103" s="74"/>
      <x:c r="U103" s="74"/>
      <x:c r="V103" s="74"/>
    </x:row>
    <x:row r="104">
      <x:c r="A104" s="74"/>
      <x:c r="B104" s="74"/>
      <x:c r="C104" s="74"/>
      <x:c r="D104" s="74"/>
      <x:c r="E104" s="74"/>
      <x:c r="F104" s="74"/>
      <x:c r="G104" s="74"/>
      <x:c r="H104" s="74"/>
      <x:c r="I104" s="74"/>
      <x:c r="J104" s="74"/>
      <x:c r="K104" s="74"/>
      <x:c r="L104" s="74"/>
      <x:c r="M104" s="74"/>
      <x:c r="N104" s="74"/>
      <x:c r="O104" s="74"/>
      <x:c r="P104" s="74"/>
      <x:c r="Q104" s="74"/>
      <x:c r="R104" s="74"/>
      <x:c r="S104" s="74"/>
      <x:c r="T104" s="74"/>
      <x:c r="U104" s="74"/>
      <x:c r="V104" s="74"/>
    </x:row>
    <x:row r="105">
      <x:c r="A105" s="74"/>
      <x:c r="B105" s="74"/>
      <x:c r="C105" s="74"/>
      <x:c r="D105" s="74"/>
      <x:c r="E105" s="74"/>
      <x:c r="F105" s="74"/>
      <x:c r="G105" s="74"/>
      <x:c r="H105" s="74"/>
      <x:c r="I105" s="74"/>
      <x:c r="J105" s="74"/>
      <x:c r="K105" s="74"/>
      <x:c r="L105" s="74"/>
      <x:c r="M105" s="74"/>
      <x:c r="N105" s="74"/>
      <x:c r="O105" s="74"/>
      <x:c r="P105" s="74"/>
      <x:c r="Q105" s="74"/>
      <x:c r="R105" s="74"/>
      <x:c r="S105" s="74"/>
      <x:c r="T105" s="74"/>
      <x:c r="U105" s="74"/>
      <x:c r="V105" s="74"/>
    </x:row>
    <x:row r="106">
      <x:c r="A106" s="74"/>
      <x:c r="B106" s="74"/>
      <x:c r="C106" s="74"/>
      <x:c r="D106" s="74"/>
      <x:c r="E106" s="74"/>
      <x:c r="F106" s="74"/>
      <x:c r="G106" s="74"/>
      <x:c r="H106" s="74"/>
      <x:c r="I106" s="74"/>
      <x:c r="J106" s="74"/>
      <x:c r="K106" s="74"/>
      <x:c r="L106" s="74"/>
      <x:c r="M106" s="74"/>
      <x:c r="N106" s="74"/>
      <x:c r="O106" s="74"/>
      <x:c r="P106" s="74"/>
      <x:c r="Q106" s="74"/>
      <x:c r="R106" s="74"/>
      <x:c r="S106" s="74"/>
      <x:c r="T106" s="74"/>
      <x:c r="U106" s="74"/>
      <x:c r="V106" s="74"/>
    </x:row>
    <x:row r="107">
      <x:c r="A107" s="74"/>
      <x:c r="B107" s="74"/>
      <x:c r="C107" s="74"/>
      <x:c r="D107" s="74"/>
      <x:c r="E107" s="74"/>
      <x:c r="F107" s="74"/>
      <x:c r="G107" s="74"/>
      <x:c r="H107" s="74"/>
      <x:c r="I107" s="74"/>
      <x:c r="J107" s="74"/>
      <x:c r="K107" s="74"/>
      <x:c r="L107" s="74"/>
      <x:c r="M107" s="74"/>
      <x:c r="N107" s="74"/>
      <x:c r="O107" s="74"/>
      <x:c r="P107" s="74"/>
      <x:c r="Q107" s="74"/>
      <x:c r="R107" s="74"/>
      <x:c r="S107" s="74"/>
      <x:c r="T107" s="74"/>
      <x:c r="U107" s="74"/>
      <x:c r="V107" s="74"/>
    </x:row>
    <x:row r="108">
      <x:c r="A108" s="74"/>
      <x:c r="B108" s="74"/>
      <x:c r="C108" s="74"/>
      <x:c r="D108" s="74"/>
      <x:c r="E108" s="74"/>
      <x:c r="F108" s="74"/>
      <x:c r="G108" s="74"/>
      <x:c r="H108" s="74"/>
      <x:c r="I108" s="74"/>
      <x:c r="J108" s="74"/>
      <x:c r="K108" s="74"/>
      <x:c r="L108" s="74"/>
      <x:c r="M108" s="74"/>
      <x:c r="N108" s="74"/>
      <x:c r="O108" s="74"/>
      <x:c r="P108" s="74"/>
      <x:c r="Q108" s="74"/>
      <x:c r="R108" s="74"/>
      <x:c r="S108" s="74"/>
      <x:c r="T108" s="74"/>
      <x:c r="U108" s="74"/>
      <x:c r="V108" s="74"/>
    </x:row>
    <x:row r="109">
      <x:c r="A109" s="74"/>
      <x:c r="B109" s="74"/>
      <x:c r="C109" s="74"/>
      <x:c r="D109" s="74"/>
      <x:c r="E109" s="74"/>
      <x:c r="F109" s="74"/>
      <x:c r="G109" s="74"/>
      <x:c r="H109" s="74"/>
      <x:c r="I109" s="74"/>
      <x:c r="J109" s="74"/>
      <x:c r="K109" s="74"/>
      <x:c r="L109" s="74"/>
      <x:c r="M109" s="74"/>
      <x:c r="N109" s="74"/>
      <x:c r="O109" s="74"/>
      <x:c r="P109" s="74"/>
      <x:c r="Q109" s="74"/>
      <x:c r="R109" s="74"/>
      <x:c r="S109" s="74"/>
      <x:c r="T109" s="74"/>
      <x:c r="U109" s="74"/>
      <x:c r="V109" s="74"/>
    </x:row>
    <x:row r="110">
      <x:c r="A110" s="74"/>
      <x:c r="B110" s="74"/>
      <x:c r="C110" s="74"/>
      <x:c r="D110" s="74"/>
      <x:c r="E110" s="74"/>
      <x:c r="F110" s="74"/>
      <x:c r="G110" s="74"/>
      <x:c r="H110" s="74"/>
      <x:c r="I110" s="74"/>
      <x:c r="J110" s="74"/>
      <x:c r="K110" s="74"/>
      <x:c r="L110" s="74"/>
      <x:c r="M110" s="74"/>
      <x:c r="N110" s="74"/>
      <x:c r="O110" s="74"/>
      <x:c r="P110" s="74"/>
      <x:c r="Q110" s="74"/>
      <x:c r="R110" s="74"/>
      <x:c r="S110" s="74"/>
      <x:c r="T110" s="74"/>
      <x:c r="U110" s="74"/>
      <x:c r="V110" s="74"/>
    </x:row>
    <x:row r="111">
      <x:c r="A111" s="74"/>
      <x:c r="B111" s="74"/>
      <x:c r="C111" s="74"/>
      <x:c r="D111" s="74"/>
      <x:c r="E111" s="74"/>
      <x:c r="F111" s="74"/>
      <x:c r="G111" s="74"/>
      <x:c r="H111" s="74"/>
      <x:c r="I111" s="74"/>
      <x:c r="J111" s="74"/>
      <x:c r="K111" s="74"/>
      <x:c r="L111" s="74"/>
      <x:c r="M111" s="74"/>
      <x:c r="N111" s="74"/>
      <x:c r="O111" s="74"/>
      <x:c r="P111" s="74"/>
      <x:c r="Q111" s="74"/>
      <x:c r="R111" s="74"/>
      <x:c r="S111" s="74"/>
      <x:c r="T111" s="74"/>
      <x:c r="U111" s="74"/>
      <x:c r="V111" s="74"/>
    </x:row>
    <x:row r="112">
      <x:c r="A112" s="74"/>
      <x:c r="B112" s="74"/>
      <x:c r="C112" s="74"/>
      <x:c r="D112" s="74"/>
      <x:c r="E112" s="74"/>
      <x:c r="F112" s="74"/>
      <x:c r="G112" s="74"/>
      <x:c r="H112" s="74"/>
      <x:c r="I112" s="74"/>
      <x:c r="J112" s="74"/>
      <x:c r="K112" s="74"/>
      <x:c r="L112" s="74"/>
      <x:c r="M112" s="74"/>
      <x:c r="N112" s="74"/>
      <x:c r="O112" s="74"/>
      <x:c r="P112" s="74"/>
      <x:c r="Q112" s="74"/>
      <x:c r="R112" s="74"/>
      <x:c r="S112" s="74"/>
      <x:c r="T112" s="74"/>
      <x:c r="U112" s="74"/>
      <x:c r="V112" s="74"/>
    </x:row>
    <x:row r="113">
      <x:c r="A113" s="74"/>
      <x:c r="B113" s="74"/>
      <x:c r="C113" s="74"/>
      <x:c r="D113" s="74"/>
      <x:c r="E113" s="74"/>
      <x:c r="F113" s="74"/>
      <x:c r="G113" s="74"/>
      <x:c r="H113" s="74"/>
      <x:c r="I113" s="74"/>
      <x:c r="J113" s="74"/>
      <x:c r="K113" s="74"/>
      <x:c r="L113" s="74"/>
      <x:c r="M113" s="74"/>
      <x:c r="N113" s="74"/>
      <x:c r="O113" s="74"/>
      <x:c r="P113" s="74"/>
      <x:c r="Q113" s="74"/>
      <x:c r="R113" s="74"/>
      <x:c r="S113" s="74"/>
      <x:c r="T113" s="74"/>
      <x:c r="U113" s="74"/>
      <x:c r="V113" s="74"/>
    </x:row>
    <x:row r="114">
      <x:c r="A114" s="74"/>
      <x:c r="B114" s="74"/>
      <x:c r="C114" s="74"/>
      <x:c r="D114" s="74"/>
      <x:c r="E114" s="74"/>
      <x:c r="F114" s="74"/>
      <x:c r="G114" s="74"/>
      <x:c r="H114" s="74"/>
      <x:c r="I114" s="74"/>
      <x:c r="J114" s="74"/>
      <x:c r="K114" s="74"/>
      <x:c r="L114" s="74"/>
      <x:c r="M114" s="74"/>
      <x:c r="N114" s="74"/>
      <x:c r="O114" s="74"/>
      <x:c r="P114" s="74"/>
      <x:c r="Q114" s="74"/>
      <x:c r="R114" s="74"/>
      <x:c r="S114" s="74"/>
      <x:c r="T114" s="74"/>
      <x:c r="U114" s="74"/>
      <x:c r="V114" s="74"/>
    </x:row>
    <x:row r="115">
      <x:c r="A115" s="74"/>
      <x:c r="B115" s="74"/>
      <x:c r="C115" s="74"/>
      <x:c r="D115" s="74"/>
      <x:c r="E115" s="74"/>
      <x:c r="F115" s="74"/>
      <x:c r="G115" s="74"/>
      <x:c r="H115" s="74"/>
      <x:c r="I115" s="74"/>
      <x:c r="J115" s="74"/>
      <x:c r="K115" s="74"/>
      <x:c r="L115" s="74"/>
      <x:c r="M115" s="74"/>
      <x:c r="N115" s="74"/>
      <x:c r="O115" s="74"/>
      <x:c r="P115" s="74"/>
      <x:c r="Q115" s="74"/>
      <x:c r="R115" s="74"/>
      <x:c r="S115" s="74"/>
      <x:c r="T115" s="74"/>
      <x:c r="U115" s="74"/>
      <x:c r="V115" s="74"/>
    </x:row>
    <x:row r="116">
      <x:c r="A116" s="74"/>
      <x:c r="B116" s="74"/>
      <x:c r="C116" s="74"/>
      <x:c r="D116" s="74"/>
      <x:c r="E116" s="74"/>
      <x:c r="F116" s="74"/>
      <x:c r="G116" s="74"/>
      <x:c r="H116" s="74"/>
      <x:c r="I116" s="74"/>
      <x:c r="J116" s="74"/>
      <x:c r="K116" s="74"/>
      <x:c r="L116" s="74"/>
      <x:c r="M116" s="74"/>
      <x:c r="N116" s="74"/>
      <x:c r="O116" s="74"/>
      <x:c r="P116" s="74"/>
      <x:c r="Q116" s="74"/>
      <x:c r="R116" s="74"/>
      <x:c r="S116" s="74"/>
      <x:c r="T116" s="74"/>
      <x:c r="U116" s="74"/>
      <x:c r="V116" s="74"/>
    </x:row>
    <x:row r="117">
      <x:c r="A117" s="74"/>
      <x:c r="B117" s="74"/>
      <x:c r="C117" s="74"/>
      <x:c r="D117" s="74"/>
      <x:c r="E117" s="74"/>
      <x:c r="F117" s="74"/>
      <x:c r="G117" s="74"/>
      <x:c r="H117" s="74"/>
      <x:c r="I117" s="74"/>
      <x:c r="J117" s="74"/>
      <x:c r="K117" s="74"/>
      <x:c r="L117" s="74"/>
      <x:c r="M117" s="74"/>
      <x:c r="N117" s="74"/>
      <x:c r="O117" s="74"/>
      <x:c r="P117" s="74"/>
      <x:c r="Q117" s="74"/>
      <x:c r="R117" s="74"/>
      <x:c r="S117" s="74"/>
      <x:c r="T117" s="74"/>
      <x:c r="U117" s="74"/>
      <x:c r="V117" s="74"/>
    </x:row>
    <x:row r="118">
      <x:c r="A118" s="74"/>
      <x:c r="B118" s="74"/>
      <x:c r="C118" s="74"/>
      <x:c r="D118" s="74"/>
      <x:c r="E118" s="74"/>
      <x:c r="F118" s="74"/>
      <x:c r="G118" s="74"/>
      <x:c r="H118" s="74"/>
      <x:c r="I118" s="74"/>
      <x:c r="J118" s="74"/>
      <x:c r="K118" s="74"/>
      <x:c r="L118" s="74"/>
      <x:c r="M118" s="74"/>
      <x:c r="N118" s="74"/>
      <x:c r="O118" s="74"/>
      <x:c r="P118" s="74"/>
      <x:c r="Q118" s="74"/>
      <x:c r="R118" s="74"/>
      <x:c r="S118" s="74"/>
      <x:c r="T118" s="74"/>
      <x:c r="U118" s="74"/>
      <x:c r="V118" s="74"/>
    </x:row>
    <x:row r="119">
      <x:c r="A119" s="74"/>
      <x:c r="B119" s="74"/>
      <x:c r="C119" s="74"/>
      <x:c r="D119" s="74"/>
      <x:c r="E119" s="74"/>
      <x:c r="F119" s="74"/>
      <x:c r="G119" s="74"/>
      <x:c r="H119" s="74"/>
      <x:c r="I119" s="74"/>
      <x:c r="J119" s="74"/>
      <x:c r="K119" s="74"/>
      <x:c r="L119" s="74"/>
      <x:c r="M119" s="74"/>
      <x:c r="N119" s="74"/>
      <x:c r="O119" s="74"/>
      <x:c r="P119" s="74"/>
      <x:c r="Q119" s="74"/>
      <x:c r="R119" s="74"/>
      <x:c r="S119" s="74"/>
      <x:c r="T119" s="74"/>
      <x:c r="U119" s="74"/>
      <x:c r="V119" s="74"/>
    </x:row>
    <x:row r="120">
      <x:c r="A120" s="74"/>
      <x:c r="B120" s="74"/>
      <x:c r="C120" s="74"/>
      <x:c r="D120" s="74"/>
      <x:c r="E120" s="74"/>
      <x:c r="F120" s="74"/>
      <x:c r="G120" s="74"/>
      <x:c r="H120" s="74"/>
      <x:c r="I120" s="74"/>
      <x:c r="J120" s="74"/>
      <x:c r="K120" s="74"/>
      <x:c r="L120" s="74"/>
      <x:c r="M120" s="74"/>
      <x:c r="N120" s="74"/>
      <x:c r="O120" s="74"/>
      <x:c r="P120" s="74"/>
      <x:c r="Q120" s="74"/>
      <x:c r="R120" s="74"/>
      <x:c r="S120" s="74"/>
      <x:c r="T120" s="74"/>
      <x:c r="U120" s="74"/>
      <x:c r="V120" s="74"/>
    </x:row>
    <x:row r="121">
      <x:c r="A121" s="74"/>
      <x:c r="B121" s="74"/>
      <x:c r="C121" s="74"/>
      <x:c r="D121" s="74"/>
      <x:c r="E121" s="74"/>
      <x:c r="F121" s="74"/>
      <x:c r="G121" s="74"/>
      <x:c r="H121" s="74"/>
      <x:c r="I121" s="74"/>
      <x:c r="J121" s="74"/>
      <x:c r="K121" s="74"/>
      <x:c r="L121" s="74"/>
      <x:c r="M121" s="74"/>
      <x:c r="N121" s="74"/>
      <x:c r="O121" s="74"/>
      <x:c r="P121" s="74"/>
      <x:c r="Q121" s="74"/>
      <x:c r="R121" s="74"/>
      <x:c r="S121" s="74"/>
      <x:c r="T121" s="74"/>
      <x:c r="U121" s="74"/>
      <x:c r="V121" s="74"/>
    </x:row>
    <x:row r="122">
      <x:c r="A122" s="74"/>
      <x:c r="B122" s="74"/>
      <x:c r="C122" s="74"/>
      <x:c r="D122" s="74"/>
      <x:c r="E122" s="74"/>
      <x:c r="F122" s="74"/>
      <x:c r="G122" s="74"/>
      <x:c r="H122" s="74"/>
      <x:c r="I122" s="74"/>
      <x:c r="J122" s="74"/>
      <x:c r="K122" s="74"/>
      <x:c r="L122" s="74"/>
      <x:c r="M122" s="74"/>
      <x:c r="N122" s="74"/>
      <x:c r="O122" s="74"/>
      <x:c r="P122" s="74"/>
      <x:c r="Q122" s="74"/>
      <x:c r="R122" s="74"/>
      <x:c r="S122" s="74"/>
      <x:c r="T122" s="74"/>
      <x:c r="U122" s="74"/>
      <x:c r="V122" s="74"/>
    </x:row>
    <x:row r="123">
      <x:c r="A123" s="74"/>
      <x:c r="B123" s="74"/>
      <x:c r="C123" s="74"/>
      <x:c r="D123" s="74"/>
      <x:c r="E123" s="74"/>
      <x:c r="F123" s="74"/>
      <x:c r="G123" s="74"/>
      <x:c r="H123" s="74"/>
      <x:c r="I123" s="74"/>
      <x:c r="J123" s="74"/>
      <x:c r="K123" s="74"/>
      <x:c r="L123" s="74"/>
      <x:c r="M123" s="74"/>
      <x:c r="N123" s="74"/>
      <x:c r="O123" s="74"/>
      <x:c r="P123" s="74"/>
      <x:c r="Q123" s="74"/>
      <x:c r="R123" s="74"/>
      <x:c r="S123" s="74"/>
      <x:c r="T123" s="74"/>
      <x:c r="U123" s="74"/>
      <x:c r="V123" s="74"/>
    </x:row>
    <x:row r="124">
      <x:c r="A124" s="74"/>
      <x:c r="B124" s="74"/>
      <x:c r="C124" s="74"/>
      <x:c r="D124" s="74"/>
      <x:c r="E124" s="74"/>
      <x:c r="F124" s="74"/>
      <x:c r="G124" s="74"/>
      <x:c r="H124" s="74"/>
      <x:c r="I124" s="74"/>
      <x:c r="J124" s="74"/>
      <x:c r="K124" s="74"/>
      <x:c r="L124" s="74"/>
      <x:c r="M124" s="74"/>
      <x:c r="N124" s="74"/>
      <x:c r="O124" s="74"/>
      <x:c r="P124" s="74"/>
      <x:c r="Q124" s="74"/>
      <x:c r="R124" s="74"/>
      <x:c r="S124" s="74"/>
      <x:c r="T124" s="74"/>
      <x:c r="U124" s="74"/>
      <x:c r="V124" s="74"/>
    </x:row>
    <x:row r="125">
      <x:c r="A125" s="74"/>
      <x:c r="B125" s="74"/>
      <x:c r="C125" s="74"/>
      <x:c r="D125" s="74"/>
      <x:c r="E125" s="74"/>
      <x:c r="F125" s="74"/>
      <x:c r="G125" s="74"/>
      <x:c r="H125" s="74"/>
      <x:c r="I125" s="74"/>
      <x:c r="J125" s="74"/>
      <x:c r="K125" s="74"/>
      <x:c r="L125" s="74"/>
      <x:c r="M125" s="74"/>
      <x:c r="N125" s="74"/>
      <x:c r="O125" s="74"/>
      <x:c r="P125" s="74"/>
      <x:c r="Q125" s="74"/>
      <x:c r="R125" s="74"/>
      <x:c r="S125" s="74"/>
      <x:c r="T125" s="74"/>
      <x:c r="U125" s="74"/>
      <x:c r="V125" s="74"/>
    </x:row>
    <x:row r="126">
      <x:c r="A126" s="74"/>
      <x:c r="B126" s="74"/>
      <x:c r="C126" s="74"/>
      <x:c r="D126" s="74"/>
      <x:c r="E126" s="74"/>
      <x:c r="F126" s="74"/>
      <x:c r="G126" s="74"/>
      <x:c r="H126" s="74"/>
      <x:c r="I126" s="74"/>
      <x:c r="J126" s="74"/>
      <x:c r="K126" s="74"/>
      <x:c r="L126" s="74"/>
      <x:c r="M126" s="74"/>
      <x:c r="N126" s="74"/>
      <x:c r="O126" s="74"/>
      <x:c r="P126" s="74"/>
      <x:c r="Q126" s="74"/>
      <x:c r="R126" s="74"/>
      <x:c r="S126" s="74"/>
      <x:c r="T126" s="74"/>
      <x:c r="U126" s="74"/>
      <x:c r="V126" s="74"/>
    </x:row>
    <x:row r="127">
      <x:c r="A127" s="74"/>
      <x:c r="B127" s="74"/>
      <x:c r="C127" s="74"/>
      <x:c r="D127" s="74"/>
      <x:c r="E127" s="74"/>
      <x:c r="F127" s="74"/>
      <x:c r="G127" s="74"/>
      <x:c r="H127" s="74"/>
      <x:c r="I127" s="74"/>
      <x:c r="J127" s="74"/>
      <x:c r="K127" s="74"/>
      <x:c r="L127" s="74"/>
      <x:c r="M127" s="74"/>
      <x:c r="N127" s="74"/>
      <x:c r="O127" s="74"/>
      <x:c r="P127" s="74"/>
      <x:c r="Q127" s="74"/>
      <x:c r="R127" s="74"/>
      <x:c r="S127" s="74"/>
      <x:c r="T127" s="74"/>
      <x:c r="U127" s="74"/>
      <x:c r="V127" s="74"/>
    </x:row>
    <x:row r="128">
      <x:c r="A128" s="74"/>
      <x:c r="B128" s="74"/>
      <x:c r="C128" s="74"/>
      <x:c r="D128" s="74"/>
      <x:c r="E128" s="74"/>
      <x:c r="F128" s="74"/>
      <x:c r="G128" s="74"/>
      <x:c r="H128" s="74"/>
      <x:c r="I128" s="74"/>
      <x:c r="J128" s="74"/>
      <x:c r="K128" s="74"/>
      <x:c r="L128" s="74"/>
      <x:c r="M128" s="74"/>
      <x:c r="N128" s="74"/>
      <x:c r="O128" s="74"/>
      <x:c r="P128" s="74"/>
      <x:c r="Q128" s="74"/>
      <x:c r="R128" s="74"/>
      <x:c r="S128" s="74"/>
      <x:c r="T128" s="74"/>
      <x:c r="U128" s="74"/>
      <x:c r="V128" s="74"/>
    </x:row>
    <x:row r="129">
      <x:c r="A129" s="74"/>
      <x:c r="B129" s="74"/>
      <x:c r="C129" s="74"/>
      <x:c r="D129" s="74"/>
      <x:c r="E129" s="74"/>
      <x:c r="F129" s="74"/>
      <x:c r="G129" s="74"/>
      <x:c r="H129" s="74"/>
      <x:c r="I129" s="74"/>
      <x:c r="J129" s="74"/>
      <x:c r="K129" s="74"/>
      <x:c r="L129" s="74"/>
      <x:c r="M129" s="74"/>
      <x:c r="N129" s="74"/>
      <x:c r="O129" s="74"/>
      <x:c r="P129" s="74"/>
      <x:c r="Q129" s="74"/>
      <x:c r="R129" s="74"/>
      <x:c r="S129" s="74"/>
      <x:c r="T129" s="74"/>
      <x:c r="U129" s="74"/>
      <x:c r="V129" s="74"/>
    </x:row>
    <x:row r="130">
      <x:c r="A130" s="74"/>
      <x:c r="B130" s="74"/>
      <x:c r="C130" s="74"/>
      <x:c r="D130" s="74"/>
      <x:c r="E130" s="74"/>
      <x:c r="F130" s="74"/>
      <x:c r="G130" s="74"/>
      <x:c r="H130" s="74"/>
      <x:c r="I130" s="74"/>
      <x:c r="J130" s="74"/>
      <x:c r="K130" s="74"/>
      <x:c r="L130" s="74"/>
      <x:c r="M130" s="74"/>
      <x:c r="N130" s="74"/>
      <x:c r="O130" s="74"/>
      <x:c r="P130" s="74"/>
      <x:c r="Q130" s="74"/>
      <x:c r="R130" s="74"/>
      <x:c r="S130" s="74"/>
      <x:c r="T130" s="74"/>
      <x:c r="U130" s="74"/>
      <x:c r="V130" s="74"/>
    </x:row>
    <x:row r="131">
      <x:c r="A131" s="74"/>
      <x:c r="B131" s="74"/>
      <x:c r="C131" s="74"/>
      <x:c r="D131" s="74"/>
      <x:c r="E131" s="74"/>
      <x:c r="F131" s="74"/>
      <x:c r="G131" s="74"/>
      <x:c r="H131" s="74"/>
      <x:c r="I131" s="74"/>
      <x:c r="J131" s="74"/>
      <x:c r="K131" s="74"/>
      <x:c r="L131" s="74"/>
      <x:c r="M131" s="74"/>
      <x:c r="N131" s="74"/>
      <x:c r="O131" s="74"/>
      <x:c r="P131" s="74"/>
      <x:c r="Q131" s="74"/>
      <x:c r="R131" s="74"/>
      <x:c r="S131" s="74"/>
      <x:c r="T131" s="74"/>
      <x:c r="U131" s="74"/>
      <x:c r="V131" s="74"/>
    </x:row>
    <x:row r="132">
      <x:c r="A132" s="74"/>
      <x:c r="B132" s="74"/>
      <x:c r="C132" s="74"/>
      <x:c r="D132" s="74"/>
      <x:c r="E132" s="74"/>
      <x:c r="F132" s="74"/>
      <x:c r="G132" s="74"/>
      <x:c r="H132" s="74"/>
      <x:c r="I132" s="74"/>
      <x:c r="J132" s="74"/>
      <x:c r="K132" s="74"/>
      <x:c r="L132" s="74"/>
      <x:c r="M132" s="74"/>
      <x:c r="N132" s="74"/>
      <x:c r="O132" s="74"/>
      <x:c r="P132" s="74"/>
      <x:c r="Q132" s="74"/>
      <x:c r="R132" s="74"/>
      <x:c r="S132" s="74"/>
      <x:c r="T132" s="74"/>
      <x:c r="U132" s="74"/>
      <x:c r="V132" s="74"/>
    </x:row>
    <x:row r="133">
      <x:c r="A133" s="74"/>
      <x:c r="B133" s="74"/>
      <x:c r="C133" s="74"/>
      <x:c r="D133" s="74"/>
      <x:c r="E133" s="74"/>
      <x:c r="F133" s="74"/>
      <x:c r="G133" s="74"/>
      <x:c r="H133" s="74"/>
      <x:c r="I133" s="74"/>
      <x:c r="J133" s="74"/>
      <x:c r="K133" s="74"/>
      <x:c r="L133" s="74"/>
      <x:c r="M133" s="74"/>
      <x:c r="N133" s="74"/>
      <x:c r="O133" s="74"/>
      <x:c r="P133" s="74"/>
      <x:c r="Q133" s="74"/>
      <x:c r="R133" s="74"/>
      <x:c r="S133" s="74"/>
      <x:c r="T133" s="74"/>
      <x:c r="U133" s="74"/>
      <x:c r="V133" s="74"/>
    </x:row>
    <x:row r="134">
      <x:c r="A134" s="74"/>
      <x:c r="B134" s="74"/>
      <x:c r="C134" s="74"/>
      <x:c r="D134" s="74"/>
      <x:c r="E134" s="74"/>
      <x:c r="F134" s="74"/>
      <x:c r="G134" s="74"/>
      <x:c r="H134" s="74"/>
      <x:c r="I134" s="74"/>
      <x:c r="J134" s="74"/>
      <x:c r="K134" s="74"/>
      <x:c r="L134" s="74"/>
      <x:c r="M134" s="74"/>
      <x:c r="N134" s="74"/>
      <x:c r="O134" s="74"/>
      <x:c r="P134" s="74"/>
      <x:c r="Q134" s="74"/>
      <x:c r="R134" s="74"/>
      <x:c r="S134" s="74"/>
      <x:c r="T134" s="74"/>
      <x:c r="U134" s="74"/>
      <x:c r="V134" s="74"/>
    </x:row>
    <x:row r="135">
      <x:c r="A135" s="74"/>
      <x:c r="B135" s="74"/>
      <x:c r="C135" s="74"/>
      <x:c r="D135" s="74"/>
      <x:c r="E135" s="74"/>
      <x:c r="F135" s="74"/>
      <x:c r="G135" s="74"/>
      <x:c r="H135" s="74"/>
      <x:c r="I135" s="74"/>
      <x:c r="J135" s="74"/>
      <x:c r="K135" s="74"/>
      <x:c r="L135" s="74"/>
      <x:c r="M135" s="74"/>
      <x:c r="N135" s="74"/>
      <x:c r="O135" s="74"/>
      <x:c r="P135" s="74"/>
      <x:c r="Q135" s="74"/>
      <x:c r="R135" s="74"/>
      <x:c r="S135" s="74"/>
      <x:c r="T135" s="74"/>
      <x:c r="U135" s="74"/>
      <x:c r="V135" s="74"/>
    </x:row>
    <x:row r="136">
      <x:c r="A136" s="74"/>
      <x:c r="B136" s="74"/>
      <x:c r="C136" s="74"/>
      <x:c r="D136" s="74"/>
      <x:c r="E136" s="74"/>
      <x:c r="F136" s="74"/>
      <x:c r="G136" s="74"/>
      <x:c r="H136" s="74"/>
      <x:c r="I136" s="74"/>
      <x:c r="J136" s="74"/>
      <x:c r="K136" s="74"/>
      <x:c r="L136" s="74"/>
      <x:c r="M136" s="74"/>
      <x:c r="N136" s="74"/>
      <x:c r="O136" s="74"/>
      <x:c r="P136" s="74"/>
      <x:c r="Q136" s="74"/>
      <x:c r="R136" s="74"/>
      <x:c r="S136" s="74"/>
      <x:c r="T136" s="74"/>
      <x:c r="U136" s="74"/>
      <x:c r="V136" s="74"/>
    </x:row>
    <x:row r="137">
      <x:c r="A137" s="74"/>
      <x:c r="B137" s="74"/>
      <x:c r="C137" s="74"/>
      <x:c r="D137" s="74"/>
      <x:c r="E137" s="74"/>
      <x:c r="F137" s="74"/>
      <x:c r="G137" s="74"/>
      <x:c r="H137" s="74"/>
      <x:c r="I137" s="74"/>
      <x:c r="J137" s="74"/>
      <x:c r="K137" s="74"/>
      <x:c r="L137" s="74"/>
      <x:c r="M137" s="74"/>
      <x:c r="N137" s="74"/>
      <x:c r="O137" s="74"/>
      <x:c r="P137" s="74"/>
      <x:c r="Q137" s="74"/>
      <x:c r="R137" s="74"/>
      <x:c r="S137" s="74"/>
      <x:c r="T137" s="74"/>
      <x:c r="U137" s="74"/>
      <x:c r="V137" s="74"/>
    </x:row>
    <x:row r="138">
      <x:c r="A138" s="74"/>
      <x:c r="B138" s="74"/>
      <x:c r="C138" s="74"/>
      <x:c r="D138" s="74"/>
      <x:c r="E138" s="74"/>
      <x:c r="F138" s="74"/>
      <x:c r="G138" s="74"/>
      <x:c r="H138" s="74"/>
      <x:c r="I138" s="74"/>
      <x:c r="J138" s="74"/>
      <x:c r="K138" s="74"/>
      <x:c r="L138" s="74"/>
      <x:c r="M138" s="74"/>
      <x:c r="N138" s="74"/>
      <x:c r="O138" s="74"/>
      <x:c r="P138" s="74"/>
      <x:c r="Q138" s="74"/>
      <x:c r="R138" s="74"/>
      <x:c r="S138" s="74"/>
      <x:c r="T138" s="74"/>
      <x:c r="U138" s="74"/>
      <x:c r="V138" s="74"/>
    </x:row>
    <x:row r="139">
      <x:c r="A139" s="74"/>
      <x:c r="B139" s="74"/>
      <x:c r="C139" s="74"/>
      <x:c r="D139" s="74"/>
      <x:c r="E139" s="74"/>
      <x:c r="F139" s="74"/>
      <x:c r="G139" s="74"/>
      <x:c r="H139" s="74"/>
      <x:c r="I139" s="74"/>
      <x:c r="J139" s="74"/>
      <x:c r="K139" s="74"/>
      <x:c r="L139" s="74"/>
      <x:c r="M139" s="74"/>
      <x:c r="N139" s="74"/>
      <x:c r="O139" s="74"/>
      <x:c r="P139" s="74"/>
      <x:c r="Q139" s="74"/>
      <x:c r="R139" s="74"/>
      <x:c r="S139" s="74"/>
      <x:c r="T139" s="74"/>
      <x:c r="U139" s="74"/>
      <x:c r="V139" s="74"/>
    </x:row>
    <x:row r="140">
      <x:c r="A140" s="74"/>
      <x:c r="B140" s="74"/>
      <x:c r="C140" s="74"/>
      <x:c r="D140" s="74"/>
      <x:c r="E140" s="74"/>
      <x:c r="F140" s="74"/>
      <x:c r="G140" s="74"/>
      <x:c r="H140" s="74"/>
      <x:c r="I140" s="74"/>
      <x:c r="J140" s="74"/>
      <x:c r="K140" s="74"/>
      <x:c r="L140" s="74"/>
      <x:c r="M140" s="74"/>
      <x:c r="N140" s="74"/>
      <x:c r="O140" s="74"/>
      <x:c r="P140" s="74"/>
      <x:c r="Q140" s="74"/>
      <x:c r="R140" s="74"/>
      <x:c r="S140" s="74"/>
      <x:c r="T140" s="74"/>
      <x:c r="U140" s="74"/>
      <x:c r="V140" s="74"/>
    </x:row>
    <x:row r="141">
      <x:c r="A141" s="74"/>
      <x:c r="B141" s="74"/>
      <x:c r="C141" s="74"/>
      <x:c r="D141" s="74"/>
      <x:c r="E141" s="74"/>
      <x:c r="F141" s="74"/>
      <x:c r="G141" s="74"/>
      <x:c r="H141" s="74"/>
      <x:c r="I141" s="74"/>
      <x:c r="J141" s="74"/>
      <x:c r="K141" s="74"/>
      <x:c r="L141" s="74"/>
      <x:c r="M141" s="74"/>
      <x:c r="N141" s="74"/>
      <x:c r="O141" s="74"/>
      <x:c r="P141" s="74"/>
      <x:c r="Q141" s="74"/>
      <x:c r="R141" s="74"/>
      <x:c r="S141" s="74"/>
      <x:c r="T141" s="74"/>
      <x:c r="U141" s="74"/>
      <x:c r="V141" s="74"/>
    </x:row>
    <x:row r="142">
      <x:c r="A142" s="74"/>
      <x:c r="B142" s="74"/>
      <x:c r="C142" s="74"/>
      <x:c r="D142" s="74"/>
      <x:c r="E142" s="74"/>
      <x:c r="F142" s="74"/>
      <x:c r="G142" s="74"/>
      <x:c r="H142" s="74"/>
      <x:c r="I142" s="74"/>
      <x:c r="J142" s="74"/>
      <x:c r="K142" s="74"/>
      <x:c r="L142" s="74"/>
      <x:c r="M142" s="74"/>
      <x:c r="N142" s="74"/>
      <x:c r="O142" s="74"/>
      <x:c r="P142" s="74"/>
      <x:c r="Q142" s="74"/>
      <x:c r="R142" s="74"/>
      <x:c r="S142" s="74"/>
      <x:c r="T142" s="74"/>
      <x:c r="U142" s="74"/>
      <x:c r="V142" s="74"/>
    </x:row>
    <x:row r="143">
      <x:c r="A143" s="74"/>
      <x:c r="B143" s="74"/>
      <x:c r="C143" s="74"/>
      <x:c r="D143" s="74"/>
      <x:c r="E143" s="74"/>
      <x:c r="F143" s="74"/>
      <x:c r="G143" s="74"/>
      <x:c r="H143" s="74"/>
      <x:c r="I143" s="74"/>
      <x:c r="J143" s="74"/>
      <x:c r="K143" s="74"/>
      <x:c r="L143" s="74"/>
      <x:c r="M143" s="74"/>
      <x:c r="N143" s="74"/>
      <x:c r="O143" s="74"/>
      <x:c r="P143" s="74"/>
      <x:c r="Q143" s="74"/>
      <x:c r="R143" s="74"/>
      <x:c r="S143" s="74"/>
      <x:c r="T143" s="74"/>
      <x:c r="U143" s="74"/>
      <x:c r="V143" s="74"/>
    </x:row>
    <x:row r="144">
      <x:c r="A144" s="74"/>
      <x:c r="B144" s="74"/>
      <x:c r="C144" s="74"/>
      <x:c r="D144" s="74"/>
      <x:c r="E144" s="74"/>
      <x:c r="F144" s="74"/>
      <x:c r="G144" s="74"/>
      <x:c r="H144" s="74"/>
      <x:c r="I144" s="74"/>
      <x:c r="J144" s="74"/>
      <x:c r="K144" s="74"/>
      <x:c r="L144" s="74"/>
      <x:c r="M144" s="74"/>
      <x:c r="N144" s="74"/>
      <x:c r="O144" s="74"/>
      <x:c r="P144" s="74"/>
      <x:c r="Q144" s="74"/>
      <x:c r="R144" s="74"/>
      <x:c r="S144" s="74"/>
      <x:c r="T144" s="74"/>
      <x:c r="U144" s="74"/>
      <x:c r="V144" s="74"/>
    </x:row>
    <x:row r="145">
      <x:c r="A145" s="74"/>
      <x:c r="B145" s="74"/>
      <x:c r="C145" s="74"/>
      <x:c r="D145" s="74"/>
      <x:c r="E145" s="74"/>
      <x:c r="F145" s="74"/>
      <x:c r="G145" s="74"/>
      <x:c r="H145" s="74"/>
      <x:c r="I145" s="74"/>
      <x:c r="J145" s="74"/>
      <x:c r="K145" s="74"/>
      <x:c r="L145" s="74"/>
      <x:c r="M145" s="74"/>
      <x:c r="N145" s="74"/>
      <x:c r="O145" s="74"/>
      <x:c r="P145" s="74"/>
      <x:c r="Q145" s="74"/>
      <x:c r="R145" s="74"/>
      <x:c r="S145" s="74"/>
      <x:c r="T145" s="74"/>
      <x:c r="U145" s="74"/>
      <x:c r="V145" s="74"/>
    </x:row>
    <x:row r="146">
      <x:c r="A146" s="74"/>
      <x:c r="B146" s="74"/>
      <x:c r="C146" s="74"/>
      <x:c r="D146" s="74"/>
      <x:c r="E146" s="74"/>
      <x:c r="F146" s="74"/>
      <x:c r="G146" s="74"/>
      <x:c r="H146" s="74"/>
      <x:c r="I146" s="74"/>
      <x:c r="J146" s="74"/>
      <x:c r="K146" s="74"/>
      <x:c r="L146" s="74"/>
      <x:c r="M146" s="74"/>
      <x:c r="N146" s="74"/>
      <x:c r="O146" s="74"/>
      <x:c r="P146" s="74"/>
      <x:c r="Q146" s="74"/>
      <x:c r="R146" s="74"/>
      <x:c r="S146" s="74"/>
      <x:c r="T146" s="74"/>
      <x:c r="U146" s="74"/>
      <x:c r="V146" s="74"/>
    </x:row>
    <x:row r="147">
      <x:c r="A147" s="74"/>
      <x:c r="B147" s="74"/>
      <x:c r="C147" s="74"/>
      <x:c r="D147" s="74"/>
      <x:c r="E147" s="74"/>
      <x:c r="F147" s="74"/>
      <x:c r="G147" s="74"/>
      <x:c r="H147" s="74"/>
      <x:c r="I147" s="74"/>
      <x:c r="J147" s="74"/>
      <x:c r="K147" s="74"/>
      <x:c r="L147" s="74"/>
      <x:c r="M147" s="74"/>
      <x:c r="N147" s="74"/>
      <x:c r="O147" s="74"/>
      <x:c r="P147" s="74"/>
      <x:c r="Q147" s="74"/>
      <x:c r="R147" s="74"/>
      <x:c r="S147" s="74"/>
      <x:c r="T147" s="74"/>
      <x:c r="U147" s="74"/>
      <x:c r="V147" s="74"/>
    </x:row>
    <x:row r="148">
      <x:c r="A148" s="74"/>
      <x:c r="B148" s="74"/>
      <x:c r="C148" s="74"/>
      <x:c r="D148" s="74"/>
      <x:c r="E148" s="74"/>
      <x:c r="F148" s="74"/>
      <x:c r="G148" s="74"/>
      <x:c r="H148" s="74"/>
      <x:c r="I148" s="74"/>
      <x:c r="J148" s="74"/>
      <x:c r="K148" s="74"/>
      <x:c r="L148" s="74"/>
      <x:c r="M148" s="74"/>
      <x:c r="N148" s="74"/>
      <x:c r="O148" s="74"/>
      <x:c r="P148" s="74"/>
      <x:c r="Q148" s="74"/>
      <x:c r="R148" s="74"/>
      <x:c r="S148" s="74"/>
      <x:c r="T148" s="74"/>
      <x:c r="U148" s="74"/>
      <x:c r="V148" s="74"/>
    </x:row>
    <x:row r="149">
      <x:c r="A149" s="74"/>
      <x:c r="B149" s="74"/>
      <x:c r="C149" s="74"/>
      <x:c r="D149" s="74"/>
      <x:c r="E149" s="74"/>
      <x:c r="F149" s="74"/>
      <x:c r="G149" s="74"/>
      <x:c r="H149" s="74"/>
      <x:c r="I149" s="74"/>
      <x:c r="J149" s="74"/>
      <x:c r="K149" s="74"/>
      <x:c r="L149" s="74"/>
      <x:c r="M149" s="74"/>
      <x:c r="N149" s="74"/>
      <x:c r="O149" s="74"/>
      <x:c r="P149" s="74"/>
      <x:c r="Q149" s="74"/>
      <x:c r="R149" s="74"/>
      <x:c r="S149" s="74"/>
      <x:c r="T149" s="74"/>
      <x:c r="U149" s="74"/>
      <x:c r="V149" s="74"/>
    </x:row>
    <x:row r="150">
      <x:c r="A150" s="74"/>
      <x:c r="B150" s="74"/>
      <x:c r="C150" s="74"/>
      <x:c r="D150" s="74"/>
      <x:c r="E150" s="74"/>
      <x:c r="F150" s="74"/>
      <x:c r="G150" s="74"/>
      <x:c r="H150" s="74"/>
      <x:c r="I150" s="74"/>
      <x:c r="J150" s="74"/>
      <x:c r="K150" s="74"/>
      <x:c r="L150" s="74"/>
      <x:c r="M150" s="74"/>
      <x:c r="N150" s="74"/>
      <x:c r="O150" s="74"/>
      <x:c r="P150" s="74"/>
      <x:c r="Q150" s="74"/>
      <x:c r="R150" s="74"/>
      <x:c r="S150" s="74"/>
      <x:c r="T150" s="74"/>
      <x:c r="U150" s="74"/>
      <x:c r="V150" s="74"/>
    </x:row>
    <x:row r="151">
      <x:c r="A151" s="74"/>
      <x:c r="B151" s="74"/>
      <x:c r="C151" s="74"/>
      <x:c r="D151" s="74"/>
      <x:c r="E151" s="74"/>
      <x:c r="F151" s="74"/>
      <x:c r="G151" s="74"/>
      <x:c r="H151" s="74"/>
      <x:c r="I151" s="74"/>
      <x:c r="J151" s="74"/>
      <x:c r="K151" s="74"/>
      <x:c r="L151" s="74"/>
      <x:c r="M151" s="74"/>
      <x:c r="N151" s="74"/>
      <x:c r="O151" s="74"/>
      <x:c r="P151" s="74"/>
      <x:c r="Q151" s="74"/>
      <x:c r="R151" s="74"/>
      <x:c r="S151" s="74"/>
      <x:c r="T151" s="74"/>
      <x:c r="U151" s="74"/>
      <x:c r="V151" s="74"/>
    </x:row>
    <x:row r="152">
      <x:c r="A152" s="74"/>
      <x:c r="B152" s="74"/>
      <x:c r="C152" s="74"/>
      <x:c r="D152" s="74"/>
      <x:c r="E152" s="74"/>
      <x:c r="F152" s="74"/>
      <x:c r="G152" s="74"/>
      <x:c r="H152" s="74"/>
      <x:c r="I152" s="74"/>
      <x:c r="J152" s="74"/>
      <x:c r="K152" s="74"/>
      <x:c r="L152" s="74"/>
      <x:c r="M152" s="74"/>
      <x:c r="N152" s="74"/>
      <x:c r="O152" s="74"/>
      <x:c r="P152" s="74"/>
      <x:c r="Q152" s="74"/>
      <x:c r="R152" s="74"/>
      <x:c r="S152" s="74"/>
      <x:c r="T152" s="74"/>
      <x:c r="U152" s="74"/>
      <x:c r="V152" s="74"/>
    </x:row>
    <x:row r="153">
      <x:c r="A153" s="74"/>
      <x:c r="B153" s="74"/>
      <x:c r="C153" s="74"/>
      <x:c r="D153" s="74"/>
      <x:c r="E153" s="74"/>
      <x:c r="F153" s="74"/>
      <x:c r="G153" s="74"/>
      <x:c r="H153" s="74"/>
      <x:c r="I153" s="74"/>
      <x:c r="J153" s="74"/>
      <x:c r="K153" s="74"/>
      <x:c r="L153" s="74"/>
      <x:c r="M153" s="74"/>
      <x:c r="N153" s="74"/>
      <x:c r="O153" s="74"/>
      <x:c r="P153" s="74"/>
      <x:c r="Q153" s="74"/>
      <x:c r="R153" s="74"/>
      <x:c r="S153" s="74"/>
      <x:c r="T153" s="74"/>
      <x:c r="U153" s="74"/>
      <x:c r="V153" s="74"/>
    </x:row>
    <x:row r="154">
      <x:c r="A154" s="74"/>
      <x:c r="B154" s="74"/>
      <x:c r="C154" s="74"/>
      <x:c r="D154" s="74"/>
      <x:c r="E154" s="74"/>
      <x:c r="F154" s="74"/>
      <x:c r="G154" s="74"/>
      <x:c r="H154" s="74"/>
      <x:c r="I154" s="74"/>
      <x:c r="J154" s="74"/>
      <x:c r="K154" s="74"/>
      <x:c r="L154" s="74"/>
      <x:c r="M154" s="74"/>
      <x:c r="N154" s="74"/>
      <x:c r="O154" s="74"/>
      <x:c r="P154" s="74"/>
      <x:c r="Q154" s="74"/>
      <x:c r="R154" s="74"/>
      <x:c r="S154" s="74"/>
      <x:c r="T154" s="74"/>
      <x:c r="U154" s="74"/>
      <x:c r="V154" s="74"/>
    </x:row>
    <x:row r="155">
      <x:c r="A155" s="74"/>
      <x:c r="B155" s="74"/>
      <x:c r="C155" s="74"/>
      <x:c r="D155" s="74"/>
      <x:c r="E155" s="74"/>
      <x:c r="F155" s="74"/>
      <x:c r="G155" s="74"/>
      <x:c r="H155" s="74"/>
      <x:c r="I155" s="74"/>
      <x:c r="J155" s="74"/>
      <x:c r="K155" s="74"/>
      <x:c r="L155" s="74"/>
      <x:c r="M155" s="74"/>
      <x:c r="N155" s="74"/>
      <x:c r="O155" s="74"/>
      <x:c r="P155" s="74"/>
      <x:c r="Q155" s="74"/>
      <x:c r="R155" s="74"/>
      <x:c r="S155" s="74"/>
      <x:c r="T155" s="74"/>
      <x:c r="U155" s="74"/>
      <x:c r="V155" s="74"/>
    </x:row>
    <x:row r="156">
      <x:c r="A156" s="74"/>
      <x:c r="B156" s="74"/>
      <x:c r="C156" s="74"/>
      <x:c r="D156" s="74"/>
      <x:c r="E156" s="74"/>
      <x:c r="F156" s="74"/>
      <x:c r="G156" s="74"/>
      <x:c r="H156" s="74"/>
      <x:c r="I156" s="74"/>
      <x:c r="J156" s="74"/>
      <x:c r="K156" s="74"/>
      <x:c r="L156" s="74"/>
      <x:c r="M156" s="74"/>
      <x:c r="N156" s="74"/>
      <x:c r="O156" s="74"/>
      <x:c r="P156" s="74"/>
      <x:c r="Q156" s="74"/>
      <x:c r="R156" s="74"/>
      <x:c r="S156" s="74"/>
      <x:c r="T156" s="74"/>
      <x:c r="U156" s="74"/>
      <x:c r="V156" s="74"/>
    </x:row>
    <x:row r="157">
      <x:c r="A157" s="74"/>
      <x:c r="B157" s="74"/>
      <x:c r="C157" s="74"/>
      <x:c r="D157" s="74"/>
      <x:c r="E157" s="74"/>
      <x:c r="F157" s="74"/>
      <x:c r="G157" s="74"/>
      <x:c r="H157" s="74"/>
      <x:c r="I157" s="74"/>
      <x:c r="J157" s="74"/>
      <x:c r="K157" s="74"/>
      <x:c r="L157" s="74"/>
      <x:c r="M157" s="74"/>
      <x:c r="N157" s="74"/>
      <x:c r="O157" s="74"/>
      <x:c r="P157" s="74"/>
      <x:c r="Q157" s="74"/>
      <x:c r="R157" s="74"/>
      <x:c r="S157" s="74"/>
      <x:c r="T157" s="74"/>
      <x:c r="U157" s="74"/>
      <x:c r="V157" s="74"/>
    </x:row>
    <x:row r="158">
      <x:c r="A158" s="74"/>
      <x:c r="B158" s="74"/>
      <x:c r="C158" s="74"/>
      <x:c r="D158" s="74"/>
      <x:c r="E158" s="74"/>
      <x:c r="F158" s="74"/>
      <x:c r="G158" s="74"/>
      <x:c r="H158" s="74"/>
      <x:c r="I158" s="74"/>
      <x:c r="J158" s="74"/>
      <x:c r="K158" s="74"/>
      <x:c r="L158" s="74"/>
      <x:c r="M158" s="74"/>
      <x:c r="N158" s="74"/>
      <x:c r="O158" s="74"/>
      <x:c r="P158" s="74"/>
      <x:c r="Q158" s="74"/>
      <x:c r="R158" s="74"/>
      <x:c r="S158" s="74"/>
      <x:c r="T158" s="74"/>
      <x:c r="U158" s="74"/>
      <x:c r="V158" s="74"/>
    </x:row>
    <x:row r="159">
      <x:c r="A159" s="74"/>
      <x:c r="B159" s="74"/>
      <x:c r="C159" s="74"/>
      <x:c r="D159" s="74"/>
      <x:c r="E159" s="74"/>
      <x:c r="F159" s="74"/>
      <x:c r="G159" s="74"/>
      <x:c r="H159" s="74"/>
      <x:c r="I159" s="74"/>
      <x:c r="J159" s="74"/>
      <x:c r="K159" s="74"/>
      <x:c r="L159" s="74"/>
      <x:c r="M159" s="74"/>
      <x:c r="N159" s="74"/>
      <x:c r="O159" s="74"/>
      <x:c r="P159" s="74"/>
      <x:c r="Q159" s="74"/>
      <x:c r="R159" s="74"/>
      <x:c r="S159" s="74"/>
      <x:c r="T159" s="74"/>
      <x:c r="U159" s="74"/>
      <x:c r="V159" s="74"/>
    </x:row>
    <x:row r="160">
      <x:c r="A160" s="74"/>
      <x:c r="B160" s="74"/>
      <x:c r="C160" s="74"/>
      <x:c r="D160" s="74"/>
      <x:c r="E160" s="74"/>
      <x:c r="F160" s="74"/>
      <x:c r="G160" s="74"/>
      <x:c r="H160" s="74"/>
      <x:c r="I160" s="74"/>
      <x:c r="J160" s="74"/>
      <x:c r="K160" s="74"/>
      <x:c r="L160" s="74"/>
      <x:c r="M160" s="74"/>
      <x:c r="N160" s="74"/>
      <x:c r="O160" s="74"/>
      <x:c r="P160" s="74"/>
      <x:c r="Q160" s="74"/>
      <x:c r="R160" s="74"/>
      <x:c r="S160" s="74"/>
      <x:c r="T160" s="74"/>
      <x:c r="U160" s="74"/>
      <x:c r="V160" s="74"/>
    </x:row>
    <x:row r="161">
      <x:c r="A161" s="74"/>
      <x:c r="B161" s="74"/>
      <x:c r="C161" s="74"/>
      <x:c r="D161" s="74"/>
      <x:c r="E161" s="74"/>
      <x:c r="F161" s="74"/>
      <x:c r="G161" s="74"/>
      <x:c r="H161" s="74"/>
      <x:c r="I161" s="74"/>
      <x:c r="J161" s="74"/>
      <x:c r="K161" s="74"/>
      <x:c r="L161" s="74"/>
      <x:c r="M161" s="74"/>
      <x:c r="N161" s="74"/>
      <x:c r="O161" s="74"/>
      <x:c r="P161" s="74"/>
      <x:c r="Q161" s="74"/>
      <x:c r="R161" s="74"/>
      <x:c r="S161" s="74"/>
      <x:c r="T161" s="74"/>
      <x:c r="U161" s="74"/>
      <x:c r="V161" s="74"/>
    </x:row>
    <x:row r="162">
      <x:c r="A162" s="74"/>
      <x:c r="B162" s="74"/>
      <x:c r="C162" s="74"/>
      <x:c r="D162" s="74"/>
      <x:c r="E162" s="74"/>
      <x:c r="F162" s="74"/>
      <x:c r="G162" s="74"/>
      <x:c r="H162" s="74"/>
      <x:c r="I162" s="74"/>
      <x:c r="J162" s="74"/>
      <x:c r="K162" s="74"/>
      <x:c r="L162" s="74"/>
      <x:c r="M162" s="74"/>
      <x:c r="N162" s="74"/>
      <x:c r="O162" s="74"/>
      <x:c r="P162" s="74"/>
      <x:c r="Q162" s="74"/>
      <x:c r="R162" s="74"/>
      <x:c r="S162" s="74"/>
      <x:c r="T162" s="74"/>
      <x:c r="U162" s="74"/>
      <x:c r="V162" s="74"/>
    </x:row>
    <x:row r="163">
      <x:c r="A163" s="74"/>
      <x:c r="B163" s="74"/>
      <x:c r="C163" s="74"/>
      <x:c r="D163" s="74"/>
      <x:c r="E163" s="74"/>
      <x:c r="F163" s="74"/>
      <x:c r="G163" s="74"/>
      <x:c r="H163" s="74"/>
      <x:c r="I163" s="74"/>
      <x:c r="J163" s="74"/>
      <x:c r="K163" s="74"/>
      <x:c r="L163" s="74"/>
      <x:c r="M163" s="74"/>
      <x:c r="N163" s="74"/>
      <x:c r="O163" s="74"/>
      <x:c r="P163" s="74"/>
      <x:c r="Q163" s="74"/>
      <x:c r="R163" s="74"/>
      <x:c r="S163" s="74"/>
      <x:c r="T163" s="74"/>
      <x:c r="U163" s="74"/>
      <x:c r="V163" s="74"/>
    </x:row>
    <x:row r="164">
      <x:c r="A164" s="74"/>
      <x:c r="B164" s="74"/>
      <x:c r="C164" s="74"/>
      <x:c r="D164" s="74"/>
      <x:c r="E164" s="74"/>
      <x:c r="F164" s="74"/>
      <x:c r="G164" s="74"/>
      <x:c r="H164" s="74"/>
      <x:c r="I164" s="74"/>
      <x:c r="J164" s="74"/>
      <x:c r="K164" s="74"/>
      <x:c r="L164" s="74"/>
      <x:c r="M164" s="74"/>
      <x:c r="N164" s="74"/>
      <x:c r="O164" s="74"/>
      <x:c r="P164" s="74"/>
      <x:c r="Q164" s="74"/>
      <x:c r="R164" s="74"/>
      <x:c r="S164" s="74"/>
      <x:c r="T164" s="74"/>
      <x:c r="U164" s="74"/>
      <x:c r="V164" s="74"/>
    </x:row>
    <x:row r="165">
      <x:c r="A165" s="74"/>
      <x:c r="B165" s="74"/>
      <x:c r="C165" s="74"/>
      <x:c r="D165" s="74"/>
      <x:c r="E165" s="74"/>
      <x:c r="F165" s="74"/>
      <x:c r="G165" s="74"/>
      <x:c r="H165" s="74"/>
      <x:c r="I165" s="74"/>
      <x:c r="J165" s="74"/>
      <x:c r="K165" s="74"/>
      <x:c r="L165" s="74"/>
      <x:c r="M165" s="74"/>
      <x:c r="N165" s="74"/>
      <x:c r="O165" s="74"/>
      <x:c r="P165" s="74"/>
      <x:c r="Q165" s="74"/>
      <x:c r="R165" s="74"/>
      <x:c r="S165" s="74"/>
      <x:c r="T165" s="74"/>
      <x:c r="U165" s="74"/>
      <x:c r="V165" s="74"/>
    </x:row>
    <x:row r="166">
      <x:c r="A166" s="74"/>
      <x:c r="B166" s="74"/>
      <x:c r="C166" s="74"/>
      <x:c r="D166" s="74"/>
      <x:c r="E166" s="74"/>
      <x:c r="F166" s="74"/>
      <x:c r="G166" s="74"/>
      <x:c r="H166" s="74"/>
      <x:c r="I166" s="74"/>
      <x:c r="J166" s="74"/>
      <x:c r="K166" s="74"/>
      <x:c r="L166" s="74"/>
      <x:c r="M166" s="74"/>
      <x:c r="N166" s="74"/>
      <x:c r="O166" s="74"/>
      <x:c r="P166" s="74"/>
      <x:c r="Q166" s="74"/>
      <x:c r="R166" s="74"/>
      <x:c r="S166" s="74"/>
      <x:c r="T166" s="74"/>
      <x:c r="U166" s="74"/>
      <x:c r="V166" s="74"/>
    </x:row>
    <x:row r="167">
      <x:c r="A167" s="74"/>
      <x:c r="B167" s="74"/>
      <x:c r="C167" s="74"/>
      <x:c r="D167" s="74"/>
      <x:c r="E167" s="74"/>
      <x:c r="F167" s="74"/>
      <x:c r="G167" s="74"/>
      <x:c r="H167" s="74"/>
      <x:c r="I167" s="74"/>
      <x:c r="J167" s="74"/>
      <x:c r="K167" s="74"/>
      <x:c r="L167" s="74"/>
      <x:c r="M167" s="74"/>
      <x:c r="N167" s="74"/>
      <x:c r="O167" s="74"/>
      <x:c r="P167" s="74"/>
      <x:c r="Q167" s="74"/>
      <x:c r="R167" s="74"/>
      <x:c r="S167" s="74"/>
      <x:c r="T167" s="74"/>
      <x:c r="U167" s="74"/>
      <x:c r="V167" s="74"/>
    </x:row>
    <x:row r="168">
      <x:c r="A168" s="74"/>
      <x:c r="B168" s="74"/>
      <x:c r="C168" s="74"/>
      <x:c r="D168" s="74"/>
      <x:c r="E168" s="74"/>
      <x:c r="F168" s="74"/>
      <x:c r="G168" s="74"/>
      <x:c r="H168" s="74"/>
      <x:c r="I168" s="74"/>
      <x:c r="J168" s="74"/>
      <x:c r="K168" s="74"/>
      <x:c r="L168" s="74"/>
      <x:c r="M168" s="74"/>
      <x:c r="N168" s="74"/>
      <x:c r="O168" s="74"/>
      <x:c r="P168" s="74"/>
      <x:c r="Q168" s="74"/>
      <x:c r="R168" s="74"/>
      <x:c r="S168" s="74"/>
      <x:c r="T168" s="74"/>
      <x:c r="U168" s="74"/>
      <x:c r="V168" s="74"/>
    </x:row>
    <x:row r="169">
      <x:c r="A169" s="74"/>
      <x:c r="B169" s="74"/>
      <x:c r="C169" s="74"/>
      <x:c r="D169" s="74"/>
      <x:c r="E169" s="74"/>
      <x:c r="F169" s="74"/>
      <x:c r="G169" s="74"/>
      <x:c r="H169" s="74"/>
      <x:c r="I169" s="74"/>
      <x:c r="J169" s="74"/>
      <x:c r="K169" s="74"/>
      <x:c r="L169" s="74"/>
      <x:c r="M169" s="74"/>
      <x:c r="N169" s="74"/>
      <x:c r="O169" s="74"/>
      <x:c r="P169" s="74"/>
      <x:c r="Q169" s="74"/>
      <x:c r="R169" s="74"/>
      <x:c r="S169" s="74"/>
      <x:c r="T169" s="74"/>
      <x:c r="U169" s="74"/>
      <x:c r="V169" s="74"/>
    </x:row>
    <x:row r="170">
      <x:c r="A170" s="74"/>
      <x:c r="B170" s="74"/>
      <x:c r="C170" s="74"/>
      <x:c r="D170" s="74"/>
      <x:c r="E170" s="74"/>
      <x:c r="F170" s="74"/>
      <x:c r="G170" s="74"/>
      <x:c r="H170" s="74"/>
      <x:c r="I170" s="74"/>
      <x:c r="J170" s="74"/>
      <x:c r="K170" s="74"/>
      <x:c r="L170" s="74"/>
      <x:c r="M170" s="74"/>
      <x:c r="N170" s="74"/>
      <x:c r="O170" s="74"/>
      <x:c r="P170" s="74"/>
      <x:c r="Q170" s="74"/>
      <x:c r="R170" s="74"/>
      <x:c r="S170" s="74"/>
      <x:c r="T170" s="74"/>
      <x:c r="U170" s="74"/>
      <x:c r="V170" s="74"/>
    </x:row>
    <x:row r="171">
      <x:c r="A171" s="74"/>
      <x:c r="B171" s="74"/>
      <x:c r="C171" s="74"/>
      <x:c r="D171" s="74"/>
      <x:c r="E171" s="74"/>
      <x:c r="F171" s="74"/>
      <x:c r="G171" s="74"/>
      <x:c r="H171" s="74"/>
      <x:c r="I171" s="74"/>
      <x:c r="J171" s="74"/>
      <x:c r="K171" s="74"/>
      <x:c r="L171" s="74"/>
      <x:c r="M171" s="74"/>
      <x:c r="N171" s="74"/>
      <x:c r="O171" s="74"/>
      <x:c r="P171" s="74"/>
      <x:c r="Q171" s="74"/>
      <x:c r="R171" s="74"/>
      <x:c r="S171" s="74"/>
      <x:c r="T171" s="74"/>
      <x:c r="U171" s="74"/>
      <x:c r="V171" s="74"/>
    </x:row>
    <x:row r="172">
      <x:c r="A172" s="74"/>
      <x:c r="B172" s="74"/>
      <x:c r="C172" s="74"/>
      <x:c r="D172" s="74"/>
      <x:c r="E172" s="74"/>
      <x:c r="F172" s="74"/>
      <x:c r="G172" s="74"/>
      <x:c r="H172" s="74"/>
      <x:c r="I172" s="74"/>
      <x:c r="J172" s="74"/>
      <x:c r="K172" s="74"/>
      <x:c r="L172" s="74"/>
      <x:c r="M172" s="74"/>
      <x:c r="N172" s="74"/>
      <x:c r="O172" s="74"/>
      <x:c r="P172" s="74"/>
      <x:c r="Q172" s="74"/>
      <x:c r="R172" s="74"/>
      <x:c r="S172" s="74"/>
      <x:c r="T172" s="74"/>
      <x:c r="U172" s="74"/>
      <x:c r="V172" s="74"/>
    </x:row>
    <x:row r="173">
      <x:c r="A173" s="74"/>
      <x:c r="B173" s="74"/>
      <x:c r="C173" s="74"/>
      <x:c r="D173" s="74"/>
      <x:c r="E173" s="74"/>
      <x:c r="F173" s="74"/>
      <x:c r="G173" s="74"/>
      <x:c r="H173" s="74"/>
      <x:c r="I173" s="74"/>
      <x:c r="J173" s="74"/>
      <x:c r="K173" s="74"/>
      <x:c r="L173" s="74"/>
      <x:c r="M173" s="74"/>
      <x:c r="N173" s="74"/>
      <x:c r="O173" s="74"/>
      <x:c r="P173" s="74"/>
      <x:c r="Q173" s="74"/>
      <x:c r="R173" s="74"/>
      <x:c r="S173" s="74"/>
      <x:c r="T173" s="74"/>
      <x:c r="U173" s="74"/>
      <x:c r="V173" s="74"/>
    </x:row>
    <x:row r="174">
      <x:c r="A174" s="74"/>
      <x:c r="B174" s="74"/>
      <x:c r="C174" s="74"/>
      <x:c r="D174" s="74"/>
      <x:c r="E174" s="74"/>
      <x:c r="F174" s="74"/>
      <x:c r="G174" s="74"/>
      <x:c r="H174" s="74"/>
      <x:c r="I174" s="74"/>
      <x:c r="J174" s="74"/>
      <x:c r="K174" s="74"/>
      <x:c r="L174" s="74"/>
      <x:c r="M174" s="74"/>
      <x:c r="N174" s="74"/>
      <x:c r="O174" s="74"/>
      <x:c r="P174" s="74"/>
      <x:c r="Q174" s="74"/>
      <x:c r="R174" s="74"/>
      <x:c r="S174" s="74"/>
      <x:c r="T174" s="74"/>
      <x:c r="U174" s="74"/>
      <x:c r="V174" s="74"/>
    </x:row>
    <x:row r="175">
      <x:c r="A175" s="74"/>
      <x:c r="B175" s="74"/>
      <x:c r="C175" s="74"/>
      <x:c r="D175" s="74"/>
      <x:c r="E175" s="74"/>
      <x:c r="F175" s="74"/>
      <x:c r="G175" s="74"/>
      <x:c r="H175" s="74"/>
      <x:c r="I175" s="74"/>
      <x:c r="J175" s="74"/>
      <x:c r="K175" s="74"/>
      <x:c r="L175" s="74"/>
      <x:c r="M175" s="74"/>
      <x:c r="N175" s="74"/>
      <x:c r="O175" s="74"/>
      <x:c r="P175" s="74"/>
      <x:c r="Q175" s="74"/>
      <x:c r="R175" s="74"/>
      <x:c r="S175" s="74"/>
      <x:c r="T175" s="74"/>
      <x:c r="U175" s="74"/>
      <x:c r="V175" s="74"/>
    </x:row>
    <x:row r="176">
      <x:c r="A176" s="74"/>
      <x:c r="B176" s="74"/>
      <x:c r="C176" s="74"/>
      <x:c r="D176" s="74"/>
      <x:c r="E176" s="74"/>
      <x:c r="F176" s="74"/>
      <x:c r="G176" s="74"/>
      <x:c r="H176" s="74"/>
      <x:c r="I176" s="74"/>
      <x:c r="J176" s="74"/>
      <x:c r="K176" s="74"/>
      <x:c r="L176" s="74"/>
      <x:c r="M176" s="74"/>
      <x:c r="N176" s="74"/>
      <x:c r="O176" s="74"/>
      <x:c r="P176" s="74"/>
      <x:c r="Q176" s="74"/>
      <x:c r="R176" s="74"/>
      <x:c r="S176" s="74"/>
      <x:c r="T176" s="74"/>
      <x:c r="U176" s="74"/>
      <x:c r="V176" s="74"/>
    </x:row>
    <x:row r="177">
      <x:c r="A177" s="74"/>
      <x:c r="B177" s="74"/>
      <x:c r="C177" s="74"/>
      <x:c r="D177" s="74"/>
      <x:c r="E177" s="74"/>
      <x:c r="F177" s="74"/>
      <x:c r="G177" s="74"/>
      <x:c r="H177" s="74"/>
      <x:c r="I177" s="74"/>
      <x:c r="J177" s="74"/>
      <x:c r="K177" s="74"/>
      <x:c r="L177" s="74"/>
      <x:c r="M177" s="74"/>
      <x:c r="N177" s="74"/>
      <x:c r="O177" s="74"/>
      <x:c r="P177" s="74"/>
      <x:c r="Q177" s="74"/>
      <x:c r="R177" s="74"/>
      <x:c r="S177" s="74"/>
      <x:c r="T177" s="74"/>
      <x:c r="U177" s="74"/>
      <x:c r="V177" s="74"/>
    </x:row>
    <x:row r="178">
      <x:c r="A178" s="74"/>
      <x:c r="B178" s="74"/>
      <x:c r="C178" s="74"/>
      <x:c r="D178" s="74"/>
      <x:c r="E178" s="74"/>
      <x:c r="F178" s="74"/>
      <x:c r="G178" s="74"/>
      <x:c r="H178" s="74"/>
      <x:c r="I178" s="74"/>
      <x:c r="J178" s="74"/>
      <x:c r="K178" s="74"/>
      <x:c r="L178" s="74"/>
      <x:c r="M178" s="74"/>
      <x:c r="N178" s="74"/>
      <x:c r="O178" s="74"/>
      <x:c r="P178" s="74"/>
      <x:c r="Q178" s="74"/>
      <x:c r="R178" s="74"/>
      <x:c r="S178" s="74"/>
      <x:c r="T178" s="74"/>
      <x:c r="U178" s="74"/>
      <x:c r="V178" s="74"/>
    </x:row>
    <x:row r="179">
      <x:c r="A179" s="74"/>
      <x:c r="B179" s="74"/>
      <x:c r="C179" s="74"/>
      <x:c r="D179" s="74"/>
      <x:c r="E179" s="74"/>
      <x:c r="F179" s="74"/>
      <x:c r="G179" s="74"/>
      <x:c r="H179" s="74"/>
      <x:c r="I179" s="74"/>
      <x:c r="J179" s="74"/>
      <x:c r="K179" s="74"/>
      <x:c r="L179" s="74"/>
      <x:c r="M179" s="74"/>
      <x:c r="N179" s="74"/>
      <x:c r="O179" s="74"/>
      <x:c r="P179" s="74"/>
      <x:c r="Q179" s="74"/>
      <x:c r="R179" s="74"/>
      <x:c r="S179" s="74"/>
      <x:c r="T179" s="74"/>
      <x:c r="U179" s="74"/>
      <x:c r="V179" s="74"/>
    </x:row>
    <x:row r="180">
      <x:c r="A180" s="74"/>
      <x:c r="B180" s="74"/>
      <x:c r="C180" s="74"/>
      <x:c r="D180" s="74"/>
      <x:c r="E180" s="74"/>
      <x:c r="F180" s="74"/>
      <x:c r="G180" s="74"/>
      <x:c r="H180" s="74"/>
      <x:c r="I180" s="74"/>
      <x:c r="J180" s="74"/>
      <x:c r="K180" s="74"/>
      <x:c r="L180" s="74"/>
      <x:c r="M180" s="74"/>
      <x:c r="N180" s="74"/>
      <x:c r="O180" s="74"/>
      <x:c r="P180" s="74"/>
      <x:c r="Q180" s="74"/>
      <x:c r="R180" s="74"/>
      <x:c r="S180" s="74"/>
      <x:c r="T180" s="74"/>
      <x:c r="U180" s="74"/>
      <x:c r="V180" s="74"/>
    </x:row>
    <x:row r="181">
      <x:c r="A181" s="74"/>
      <x:c r="B181" s="74"/>
      <x:c r="C181" s="74"/>
      <x:c r="D181" s="74"/>
      <x:c r="E181" s="74"/>
      <x:c r="F181" s="74"/>
      <x:c r="G181" s="74"/>
      <x:c r="H181" s="74"/>
      <x:c r="I181" s="74"/>
      <x:c r="J181" s="74"/>
      <x:c r="K181" s="74"/>
      <x:c r="L181" s="74"/>
      <x:c r="M181" s="74"/>
      <x:c r="N181" s="74"/>
      <x:c r="O181" s="74"/>
      <x:c r="P181" s="74"/>
      <x:c r="Q181" s="74"/>
      <x:c r="R181" s="74"/>
      <x:c r="S181" s="74"/>
      <x:c r="T181" s="74"/>
      <x:c r="U181" s="74"/>
      <x:c r="V181" s="74"/>
    </x:row>
    <x:row r="182">
      <x:c r="A182" s="74"/>
      <x:c r="B182" s="74"/>
      <x:c r="C182" s="74"/>
      <x:c r="D182" s="74"/>
      <x:c r="E182" s="74"/>
      <x:c r="F182" s="74"/>
      <x:c r="G182" s="74"/>
      <x:c r="H182" s="74"/>
      <x:c r="I182" s="74"/>
      <x:c r="J182" s="74"/>
      <x:c r="K182" s="74"/>
      <x:c r="L182" s="74"/>
      <x:c r="M182" s="74"/>
      <x:c r="N182" s="74"/>
      <x:c r="O182" s="74"/>
      <x:c r="P182" s="74"/>
      <x:c r="Q182" s="74"/>
      <x:c r="R182" s="74"/>
      <x:c r="S182" s="74"/>
      <x:c r="T182" s="74"/>
      <x:c r="U182" s="74"/>
      <x:c r="V182" s="74"/>
    </x:row>
    <x:row r="183">
      <x:c r="A183" s="74"/>
      <x:c r="B183" s="74"/>
      <x:c r="C183" s="74"/>
      <x:c r="D183" s="74"/>
      <x:c r="E183" s="74"/>
      <x:c r="F183" s="74"/>
      <x:c r="G183" s="74"/>
      <x:c r="H183" s="74"/>
      <x:c r="I183" s="74"/>
      <x:c r="J183" s="74"/>
      <x:c r="K183" s="74"/>
      <x:c r="L183" s="74"/>
      <x:c r="M183" s="74"/>
      <x:c r="N183" s="74"/>
      <x:c r="O183" s="74"/>
      <x:c r="P183" s="74"/>
      <x:c r="Q183" s="74"/>
      <x:c r="R183" s="74"/>
      <x:c r="S183" s="74"/>
      <x:c r="T183" s="74"/>
      <x:c r="U183" s="74"/>
      <x:c r="V183" s="74"/>
    </x:row>
    <x:row r="184">
      <x:c r="A184" s="74"/>
      <x:c r="B184" s="74"/>
      <x:c r="C184" s="74"/>
      <x:c r="D184" s="74"/>
      <x:c r="E184" s="74"/>
      <x:c r="F184" s="74"/>
      <x:c r="G184" s="74"/>
      <x:c r="H184" s="74"/>
      <x:c r="I184" s="74"/>
      <x:c r="J184" s="74"/>
      <x:c r="K184" s="74"/>
      <x:c r="L184" s="74"/>
      <x:c r="M184" s="74"/>
      <x:c r="N184" s="74"/>
      <x:c r="O184" s="74"/>
      <x:c r="P184" s="74"/>
      <x:c r="Q184" s="74"/>
      <x:c r="R184" s="74"/>
      <x:c r="S184" s="74"/>
      <x:c r="T184" s="74"/>
      <x:c r="U184" s="74"/>
      <x:c r="V184" s="74"/>
    </x:row>
    <x:row r="185">
      <x:c r="A185" s="74"/>
      <x:c r="B185" s="74"/>
      <x:c r="C185" s="74"/>
      <x:c r="D185" s="74"/>
      <x:c r="E185" s="74"/>
      <x:c r="F185" s="74"/>
      <x:c r="G185" s="74"/>
      <x:c r="H185" s="74"/>
      <x:c r="I185" s="74"/>
      <x:c r="J185" s="74"/>
      <x:c r="K185" s="74"/>
      <x:c r="L185" s="74"/>
      <x:c r="M185" s="74"/>
      <x:c r="N185" s="74"/>
      <x:c r="O185" s="74"/>
      <x:c r="P185" s="74"/>
      <x:c r="Q185" s="74"/>
      <x:c r="R185" s="74"/>
      <x:c r="S185" s="74"/>
      <x:c r="T185" s="74"/>
      <x:c r="U185" s="74"/>
      <x:c r="V185" s="74"/>
    </x:row>
    <x:row r="186">
      <x:c r="A186" s="74"/>
      <x:c r="B186" s="74"/>
      <x:c r="C186" s="74"/>
      <x:c r="D186" s="74"/>
      <x:c r="E186" s="74"/>
      <x:c r="F186" s="74"/>
      <x:c r="G186" s="74"/>
      <x:c r="H186" s="74"/>
      <x:c r="I186" s="74"/>
      <x:c r="J186" s="74"/>
      <x:c r="K186" s="74"/>
      <x:c r="L186" s="74"/>
      <x:c r="M186" s="74"/>
      <x:c r="N186" s="74"/>
      <x:c r="O186" s="74"/>
      <x:c r="P186" s="74"/>
      <x:c r="Q186" s="74"/>
      <x:c r="R186" s="74"/>
      <x:c r="S186" s="74"/>
      <x:c r="T186" s="74"/>
      <x:c r="U186" s="74"/>
      <x:c r="V186" s="74"/>
    </x:row>
    <x:row r="187">
      <x:c r="A187" s="74"/>
      <x:c r="B187" s="74"/>
      <x:c r="C187" s="74"/>
      <x:c r="D187" s="74"/>
      <x:c r="E187" s="74"/>
      <x:c r="F187" s="74"/>
      <x:c r="G187" s="74"/>
      <x:c r="H187" s="74"/>
      <x:c r="I187" s="74"/>
      <x:c r="J187" s="74"/>
      <x:c r="K187" s="74"/>
      <x:c r="L187" s="74"/>
      <x:c r="M187" s="74"/>
      <x:c r="N187" s="74"/>
      <x:c r="O187" s="74"/>
      <x:c r="P187" s="74"/>
      <x:c r="Q187" s="74"/>
      <x:c r="R187" s="74"/>
      <x:c r="S187" s="74"/>
      <x:c r="T187" s="74"/>
      <x:c r="U187" s="74"/>
      <x:c r="V187" s="74"/>
    </x:row>
    <x:row r="188">
      <x:c r="A188" s="74"/>
      <x:c r="B188" s="74"/>
      <x:c r="C188" s="74"/>
      <x:c r="D188" s="74"/>
      <x:c r="E188" s="74"/>
      <x:c r="F188" s="74"/>
      <x:c r="G188" s="74"/>
      <x:c r="H188" s="74"/>
      <x:c r="I188" s="74"/>
      <x:c r="J188" s="74"/>
      <x:c r="K188" s="74"/>
      <x:c r="L188" s="74"/>
      <x:c r="M188" s="74"/>
      <x:c r="N188" s="74"/>
      <x:c r="O188" s="74"/>
      <x:c r="P188" s="74"/>
      <x:c r="Q188" s="74"/>
      <x:c r="R188" s="74"/>
      <x:c r="S188" s="74"/>
      <x:c r="T188" s="74"/>
      <x:c r="U188" s="74"/>
      <x:c r="V188" s="74"/>
    </x:row>
    <x:row r="189">
      <x:c r="A189" s="74"/>
      <x:c r="B189" s="74"/>
      <x:c r="C189" s="74"/>
      <x:c r="D189" s="74"/>
      <x:c r="E189" s="74"/>
      <x:c r="F189" s="74"/>
      <x:c r="G189" s="74"/>
      <x:c r="H189" s="74"/>
      <x:c r="I189" s="74"/>
      <x:c r="J189" s="74"/>
      <x:c r="K189" s="74"/>
      <x:c r="L189" s="74"/>
      <x:c r="M189" s="74"/>
      <x:c r="N189" s="74"/>
      <x:c r="O189" s="74"/>
      <x:c r="P189" s="74"/>
      <x:c r="Q189" s="74"/>
      <x:c r="R189" s="74"/>
      <x:c r="S189" s="74"/>
      <x:c r="T189" s="74"/>
      <x:c r="U189" s="74"/>
      <x:c r="V189" s="74"/>
    </x:row>
    <x:row r="190">
      <x:c r="A190" s="74"/>
      <x:c r="B190" s="74"/>
      <x:c r="C190" s="74"/>
      <x:c r="D190" s="74"/>
      <x:c r="E190" s="74"/>
      <x:c r="F190" s="74"/>
      <x:c r="G190" s="74"/>
      <x:c r="H190" s="74"/>
      <x:c r="I190" s="74"/>
      <x:c r="J190" s="74"/>
      <x:c r="K190" s="74"/>
      <x:c r="L190" s="74"/>
      <x:c r="M190" s="74"/>
      <x:c r="N190" s="74"/>
      <x:c r="O190" s="74"/>
      <x:c r="P190" s="74"/>
      <x:c r="Q190" s="74"/>
      <x:c r="R190" s="74"/>
      <x:c r="S190" s="74"/>
      <x:c r="T190" s="74"/>
      <x:c r="U190" s="74"/>
      <x:c r="V190" s="74"/>
    </x:row>
    <x:row r="191">
      <x:c r="A191" s="74"/>
      <x:c r="B191" s="74"/>
      <x:c r="C191" s="74"/>
      <x:c r="D191" s="74"/>
      <x:c r="E191" s="74"/>
      <x:c r="F191" s="74"/>
      <x:c r="G191" s="74"/>
      <x:c r="H191" s="74"/>
      <x:c r="I191" s="74"/>
      <x:c r="J191" s="74"/>
      <x:c r="K191" s="74"/>
      <x:c r="L191" s="74"/>
      <x:c r="M191" s="74"/>
      <x:c r="N191" s="74"/>
      <x:c r="O191" s="74"/>
      <x:c r="P191" s="74"/>
      <x:c r="Q191" s="74"/>
      <x:c r="R191" s="74"/>
      <x:c r="S191" s="74"/>
      <x:c r="T191" s="74"/>
      <x:c r="U191" s="74"/>
      <x:c r="V191" s="74"/>
    </x:row>
    <x:row r="192">
      <x:c r="A192" s="74"/>
      <x:c r="B192" s="74"/>
      <x:c r="C192" s="74"/>
      <x:c r="D192" s="74"/>
      <x:c r="E192" s="74"/>
      <x:c r="F192" s="74"/>
      <x:c r="G192" s="74"/>
      <x:c r="H192" s="74"/>
      <x:c r="I192" s="74"/>
      <x:c r="J192" s="74"/>
      <x:c r="K192" s="74"/>
      <x:c r="L192" s="74"/>
      <x:c r="M192" s="74"/>
      <x:c r="N192" s="74"/>
      <x:c r="O192" s="74"/>
      <x:c r="P192" s="74"/>
      <x:c r="Q192" s="74"/>
      <x:c r="R192" s="74"/>
      <x:c r="S192" s="74"/>
      <x:c r="T192" s="74"/>
      <x:c r="U192" s="74"/>
      <x:c r="V192" s="74"/>
    </x:row>
    <x:row r="193">
      <x:c r="A193" s="74"/>
      <x:c r="B193" s="74"/>
      <x:c r="C193" s="74"/>
      <x:c r="D193" s="74"/>
      <x:c r="E193" s="74"/>
      <x:c r="F193" s="74"/>
      <x:c r="G193" s="74"/>
      <x:c r="H193" s="74"/>
      <x:c r="I193" s="74"/>
      <x:c r="J193" s="74"/>
      <x:c r="K193" s="74"/>
      <x:c r="L193" s="74"/>
      <x:c r="M193" s="74"/>
      <x:c r="N193" s="74"/>
      <x:c r="O193" s="74"/>
      <x:c r="P193" s="74"/>
      <x:c r="Q193" s="74"/>
      <x:c r="R193" s="74"/>
      <x:c r="S193" s="74"/>
      <x:c r="T193" s="74"/>
      <x:c r="U193" s="74"/>
      <x:c r="V193" s="74"/>
    </x:row>
    <x:row r="194">
      <x:c r="A194" s="74"/>
      <x:c r="B194" s="74"/>
      <x:c r="C194" s="74"/>
      <x:c r="D194" s="74"/>
      <x:c r="E194" s="74"/>
      <x:c r="F194" s="74"/>
      <x:c r="G194" s="74"/>
      <x:c r="H194" s="74"/>
      <x:c r="I194" s="74"/>
      <x:c r="J194" s="74"/>
      <x:c r="K194" s="74"/>
      <x:c r="L194" s="74"/>
      <x:c r="M194" s="74"/>
      <x:c r="N194" s="74"/>
      <x:c r="O194" s="74"/>
      <x:c r="P194" s="74"/>
      <x:c r="Q194" s="74"/>
      <x:c r="R194" s="74"/>
      <x:c r="S194" s="74"/>
      <x:c r="T194" s="74"/>
      <x:c r="U194" s="74"/>
      <x:c r="V194" s="74"/>
    </x:row>
    <x:row r="195">
      <x:c r="A195" s="74"/>
      <x:c r="B195" s="74"/>
      <x:c r="C195" s="74"/>
      <x:c r="D195" s="74"/>
      <x:c r="E195" s="74"/>
      <x:c r="F195" s="74"/>
      <x:c r="G195" s="74"/>
      <x:c r="H195" s="74"/>
      <x:c r="I195" s="74"/>
      <x:c r="J195" s="74"/>
      <x:c r="K195" s="74"/>
      <x:c r="L195" s="74"/>
      <x:c r="M195" s="74"/>
      <x:c r="N195" s="74"/>
      <x:c r="O195" s="74"/>
      <x:c r="P195" s="74"/>
      <x:c r="Q195" s="74"/>
      <x:c r="R195" s="74"/>
      <x:c r="S195" s="74"/>
      <x:c r="T195" s="74"/>
      <x:c r="U195" s="74"/>
      <x:c r="V195" s="74"/>
    </x:row>
    <x:row r="196">
      <x:c r="A196" s="74"/>
      <x:c r="B196" s="74"/>
      <x:c r="C196" s="74"/>
      <x:c r="D196" s="74"/>
      <x:c r="E196" s="74"/>
      <x:c r="F196" s="74"/>
      <x:c r="G196" s="74"/>
      <x:c r="H196" s="74"/>
      <x:c r="I196" s="74"/>
      <x:c r="J196" s="74"/>
      <x:c r="K196" s="74"/>
      <x:c r="L196" s="74"/>
      <x:c r="M196" s="74"/>
      <x:c r="N196" s="74"/>
      <x:c r="O196" s="74"/>
      <x:c r="P196" s="74"/>
      <x:c r="Q196" s="74"/>
      <x:c r="R196" s="74"/>
      <x:c r="S196" s="74"/>
      <x:c r="T196" s="74"/>
      <x:c r="U196" s="74"/>
      <x:c r="V196" s="74"/>
    </x:row>
    <x:row r="197">
      <x:c r="A197" s="74"/>
      <x:c r="B197" s="74"/>
      <x:c r="C197" s="74"/>
      <x:c r="D197" s="74"/>
      <x:c r="E197" s="74"/>
      <x:c r="F197" s="74"/>
      <x:c r="G197" s="74"/>
      <x:c r="H197" s="74"/>
      <x:c r="I197" s="74"/>
      <x:c r="J197" s="74"/>
      <x:c r="K197" s="74"/>
      <x:c r="L197" s="74"/>
      <x:c r="M197" s="74"/>
      <x:c r="N197" s="74"/>
      <x:c r="O197" s="74"/>
      <x:c r="P197" s="74"/>
      <x:c r="Q197" s="74"/>
      <x:c r="R197" s="74"/>
      <x:c r="S197" s="74"/>
      <x:c r="T197" s="74"/>
      <x:c r="U197" s="74"/>
      <x:c r="V197" s="74"/>
    </x:row>
    <x:row r="198">
      <x:c r="A198" s="74"/>
      <x:c r="B198" s="74"/>
      <x:c r="C198" s="74"/>
      <x:c r="D198" s="74"/>
      <x:c r="E198" s="74"/>
      <x:c r="F198" s="74"/>
      <x:c r="G198" s="74"/>
      <x:c r="H198" s="74"/>
      <x:c r="I198" s="74"/>
      <x:c r="J198" s="74"/>
      <x:c r="K198" s="74"/>
      <x:c r="L198" s="74"/>
      <x:c r="M198" s="74"/>
      <x:c r="N198" s="74"/>
      <x:c r="O198" s="74"/>
      <x:c r="P198" s="74"/>
      <x:c r="Q198" s="74"/>
      <x:c r="R198" s="74"/>
      <x:c r="S198" s="74"/>
      <x:c r="T198" s="74"/>
      <x:c r="U198" s="74"/>
      <x:c r="V198" s="74"/>
    </x:row>
    <x:row r="199">
      <x:c r="A199" s="74"/>
      <x:c r="B199" s="74"/>
      <x:c r="C199" s="74"/>
      <x:c r="D199" s="74"/>
      <x:c r="E199" s="74"/>
      <x:c r="F199" s="74"/>
      <x:c r="G199" s="74"/>
      <x:c r="H199" s="74"/>
      <x:c r="I199" s="74"/>
      <x:c r="J199" s="74"/>
      <x:c r="K199" s="74"/>
      <x:c r="L199" s="74"/>
      <x:c r="M199" s="74"/>
      <x:c r="N199" s="74"/>
      <x:c r="O199" s="74"/>
      <x:c r="P199" s="74"/>
      <x:c r="Q199" s="74"/>
      <x:c r="R199" s="74"/>
      <x:c r="S199" s="74"/>
      <x:c r="T199" s="74"/>
      <x:c r="U199" s="74"/>
      <x:c r="V199" s="74"/>
    </x:row>
    <x:row r="200">
      <x:c r="A200" s="74"/>
      <x:c r="B200" s="74"/>
      <x:c r="C200" s="74"/>
      <x:c r="D200" s="74"/>
      <x:c r="E200" s="74"/>
      <x:c r="F200" s="74"/>
      <x:c r="G200" s="74"/>
      <x:c r="H200" s="74"/>
      <x:c r="I200" s="74"/>
      <x:c r="J200" s="74"/>
      <x:c r="K200" s="74"/>
      <x:c r="L200" s="74"/>
      <x:c r="M200" s="74"/>
      <x:c r="N200" s="74"/>
      <x:c r="O200" s="74"/>
      <x:c r="P200" s="74"/>
      <x:c r="Q200" s="74"/>
      <x:c r="R200" s="74"/>
      <x:c r="S200" s="74"/>
      <x:c r="T200" s="74"/>
      <x:c r="U200" s="74"/>
      <x:c r="V200" s="74"/>
    </x:row>
  </x:sheetData>
  <x:mergeCells>
    <x:mergeCell ref="A18:H18"/>
    <x:mergeCell ref="A19:H21"/>
  </x:mergeCells>
  <x:conditionalFormatting sqref="H2:H16">
    <x:cfRule type="expression" dxfId="11" priority="1">
      <x:formula>OR(H2="RECOMPUTE_REQUIRED",H2="PARTIAL")</x:formula>
    </x:cfRule>
    <x:cfRule type="expression" dxfId="12" priority="2">
      <x:formula>H2="SUPERSEDED_FIRST_OBSERVATION"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29f0769a90f416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66" hidden="0" customWidth="1"/>
    <x:col min="4" max="4" width="42" hidden="0" customWidth="1"/>
    <x:col min="5" max="5" width="38" hidden="0" customWidth="1"/>
    <x:col min="6" max="6" width="28" hidden="0" customWidth="1"/>
    <x:col min="7" max="7" width="28" hidden="0" customWidth="1"/>
    <x:col min="8" max="8" width="28" hidden="0" customWidth="1"/>
    <x:col min="9" max="9" width="42" hidden="0" customWidth="1"/>
    <x:col min="10" max="10" width="22" hidden="0" customWidth="1"/>
    <x:col min="11" max="11" width="64" hidden="0" customWidth="1"/>
    <x:col min="12" max="12" width="54" hidden="0" customWidth="1"/>
    <x:col min="13" max="13" width="28" hidden="0" customWidth="1"/>
  </x:cols>
  <x:sheetData>
    <x:row r="1">
      <x:c r="A1" s="97" t="str">
        <x:v>Canonical Source Registry</x:v>
      </x:c>
      <x:c r="B1" s="97"/>
      <x:c r="C1" s="97"/>
      <x:c r="D1" s="97"/>
      <x:c r="E1" s="97"/>
      <x:c r="F1" s="97"/>
      <x:c r="G1" s="97"/>
      <x:c r="H1" s="97"/>
      <x:c r="I1" s="97"/>
      <x:c r="J1" s="79"/>
      <x:c r="K1" s="79"/>
      <x:c r="L1" s="79"/>
      <x:c r="M1" s="79"/>
      <x:c r="N1" s="74"/>
      <x:c r="O1" s="74"/>
      <x:c r="P1" s="74"/>
      <x:c r="Q1" s="74"/>
      <x:c r="R1" s="74"/>
      <x:c r="S1" s="74"/>
      <x:c r="T1" s="74"/>
      <x:c r="U1" s="74"/>
      <x:c r="V1" s="74"/>
    </x:row>
    <x:row r="2">
      <x:c r="A2" s="98" t="str">
        <x:v>Canonical root: 최종 Git commit의 repro_repo/ repository root. Claim은 stable Source ID를 통해 data/reproduction/claim_evidence/source_extracts/의 canonical evidence를 참조한다. Sources의 Upstream path는 producer 입력·원장을 추적하기 위한 lineage 경로다.</x:v>
      </x:c>
      <x:c r="B2" s="98"/>
      <x:c r="C2" s="98"/>
      <x:c r="D2" s="98"/>
      <x:c r="E2" s="98"/>
      <x:c r="F2" s="98"/>
      <x:c r="G2" s="98"/>
      <x:c r="H2" s="98"/>
      <x:c r="I2" s="98"/>
      <x:c r="J2" s="74"/>
      <x:c r="K2" s="74"/>
      <x:c r="L2" s="74"/>
      <x:c r="M2" s="74"/>
      <x:c r="N2" s="74"/>
      <x:c r="O2" s="74"/>
      <x:c r="P2" s="74"/>
      <x:c r="Q2" s="74"/>
      <x:c r="R2" s="74"/>
      <x:c r="S2" s="74"/>
      <x:c r="T2" s="74"/>
      <x:c r="U2" s="74"/>
      <x:c r="V2" s="74"/>
    </x:row>
    <x:row r="3">
      <x:c r="A3" s="74"/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  <x:c r="O3" s="74"/>
      <x:c r="P3" s="74"/>
      <x:c r="Q3" s="74"/>
      <x:c r="R3" s="74"/>
      <x:c r="S3" s="74"/>
      <x:c r="T3" s="74"/>
      <x:c r="U3" s="74"/>
      <x:c r="V3" s="74"/>
    </x:row>
    <x:row r="4">
      <x:c r="A4" s="99" t="str">
        <x:v>Source ID</x:v>
      </x:c>
      <x:c r="B4" s="99" t="str">
        <x:v>영역</x:v>
      </x:c>
      <x:c r="C4" s="99" t="str">
        <x:v>Upstream repo-relative path</x:v>
      </x:c>
      <x:c r="D4" s="99" t="str">
        <x:v>필터·키</x:v>
      </x:c>
      <x:c r="E4" s="99" t="str">
        <x:v>필수 열·지표</x:v>
      </x:c>
      <x:c r="F4" s="99" t="str">
        <x:v>Producer</x:v>
      </x:c>
      <x:c r="G4" s="99" t="str">
        <x:v>Verifier</x:v>
      </x:c>
      <x:c r="H4" s="99" t="str">
        <x:v>상태</x:v>
      </x:c>
      <x:c r="I4" s="99" t="str">
        <x:v>비고</x:v>
      </x:c>
      <x:c r="J4" s="119" t="str">
        <x:v>Materialization policy</x:v>
      </x:c>
      <x:c r="K4" s="119" t="str">
        <x:v>Canonical evidence path</x:v>
      </x:c>
      <x:c r="L4" s="119" t="str">
        <x:v>Sidecar path</x:v>
      </x:c>
      <x:c r="M4" s="119" t="str">
        <x:v>Reproduction tier</x:v>
      </x:c>
      <x:c r="N4" s="74"/>
      <x:c r="O4" s="74"/>
      <x:c r="P4" s="74"/>
      <x:c r="Q4" s="74"/>
      <x:c r="R4" s="74"/>
      <x:c r="S4" s="74"/>
      <x:c r="T4" s="74"/>
      <x:c r="U4" s="74"/>
      <x:c r="V4" s="74"/>
    </x:row>
    <x:row r="5" ht="48" customHeight="1">
      <x:c r="A5" s="79" t="str">
        <x:v>S01</x:v>
      </x:c>
      <x:c r="B5" s="79" t="str">
        <x:v>설계계약</x:v>
      </x:c>
      <x:c r="C5" s="79" t="str">
        <x:v>src/credit_recourse/configs/final_oracle_rl_contract.json</x:v>
      </x:c>
      <x:c r="D5" s="79" t="str">
        <x:v>contract keys: Oracle role, reward separation, action contract</x:v>
      </x:c>
      <x:c r="E5" s="79" t="str">
        <x:v>contract JSON</x:v>
      </x:c>
      <x:c r="F5" s="79" t="str">
        <x:v>credit_recourse contracts/config</x:v>
      </x:c>
      <x:c r="G5" s="79" t="str">
        <x:v>input/profile verifier</x:v>
      </x:c>
      <x:c r="H5" s="79" t="str">
        <x:v>FROZEN</x:v>
      </x:c>
      <x:c r="I5" s="79" t="str">
        <x:v>Repository-relative path. 최종 Git commit의 repo root 기준.</x:v>
      </x:c>
      <x:c r="J5" s="74" t="str">
        <x:v>COPY_SMALL</x:v>
      </x:c>
      <x:c r="K5" s="74" t="str">
        <x:v>data/reproduction/claim_evidence/source_extracts/S01_design_contract.json</x:v>
      </x:c>
      <x:c r="L5" s="74" t="str">
        <x:v>data/reproduction/claim_evidence/source_sidecars/S01.json</x:v>
      </x:c>
      <x:c r="M5" s="74" t="str">
        <x:v>FULL</x:v>
      </x:c>
      <x:c r="N5" s="74"/>
      <x:c r="O5" s="74"/>
      <x:c r="P5" s="74"/>
      <x:c r="Q5" s="74"/>
      <x:c r="R5" s="74"/>
      <x:c r="S5" s="74"/>
      <x:c r="T5" s="74"/>
      <x:c r="U5" s="74"/>
      <x:c r="V5" s="74"/>
    </x:row>
    <x:row r="6" ht="48" customHeight="1">
      <x:c r="A6" s="79" t="str">
        <x:v>S02</x:v>
      </x:c>
      <x:c r="B6" s="79" t="str">
        <x:v>RQ/H 계보 감사</x:v>
      </x:c>
      <x:c r="C6" s="79" t="str">
        <x:v>data/analysis/paper_repro/05_prewrite_audit/rq_h_lineage_audit.csv</x:v>
      </x:c>
      <x:c r="D6" s="79" t="str">
        <x:v>item in {RQ1–RQ5,H1–H5,E1–E4}</x:v>
      </x:c>
      <x:c r="E6" s="79" t="str">
        <x:v>frozen_topic, primary_location, evidence_status</x:v>
      </x:c>
      <x:c r="F6" s="79" t="str">
        <x:v>prewrite audit migration</x:v>
      </x:c>
      <x:c r="G6" s="79" t="str">
        <x:v>claim-evidence verifier</x:v>
      </x:c>
      <x:c r="H6" s="79" t="str">
        <x:v>TO_MIGRATE</x:v>
      </x:c>
      <x:c r="I6" s="79" t="str">
        <x:v>현재 /mnt/data 감사본을 저장소로 이관해야 함.</x:v>
      </x:c>
      <x:c r="J6" s="74" t="str">
        <x:v>COPY_SMALL</x:v>
      </x:c>
      <x:c r="K6" s="74" t="str">
        <x:v>data/reproduction/claim_evidence/source_extracts/S02_rq_h_lineage.csv</x:v>
      </x:c>
      <x:c r="L6" s="74" t="str">
        <x:v>data/reproduction/claim_evidence/source_sidecars/S02.json</x:v>
      </x:c>
      <x:c r="M6" s="74" t="str">
        <x:v>PROVENANCE_ONLY</x:v>
      </x:c>
      <x:c r="N6" s="74"/>
      <x:c r="O6" s="74"/>
      <x:c r="P6" s="74"/>
      <x:c r="Q6" s="74"/>
      <x:c r="R6" s="74"/>
      <x:c r="S6" s="74"/>
      <x:c r="T6" s="74"/>
      <x:c r="U6" s="74"/>
      <x:c r="V6" s="74"/>
    </x:row>
    <x:row r="7" ht="48" customHeight="1">
      <x:c r="A7" s="79" t="str">
        <x:v>S03</x:v>
      </x:c>
      <x:c r="B7" s="79" t="str">
        <x:v>Oracle OOT 검증</x:v>
      </x:c>
      <x:c r="C7" s="79" t="str">
        <x:v>data/final_freeze/stage1_oracle_backends/&lt;exact_oracle_validation_artifact&gt;</x:v>
      </x:c>
      <x:c r="D7" s="79" t="str">
        <x:v>oracle=alpha; split=OOT; metric=direction_agreement/Wilson CI/lead alignment</x:v>
      </x:c>
      <x:c r="E7" s="79" t="str">
        <x:v>direction_agreement, ci_low, ci_high, concurrent_rho, lead_rho</x:v>
      </x:c>
      <x:c r="F7" s="79" t="str">
        <x:v>Oracle Stage1 pipeline</x:v>
      </x:c>
      <x:c r="G7" s="79" t="str">
        <x:v>Oracle stage verifier</x:v>
      </x:c>
      <x:c r="H7" s="79" t="str">
        <x:v>PATH_CONFIRMATION_REQUIRED</x:v>
      </x:c>
      <x:c r="I7" s="79" t="str">
        <x:v>기존 논문 표가 아니라 정확한 원천 파일·행·열을 확정해야 함.</x:v>
      </x:c>
      <x:c r="J7" s="74" t="str">
        <x:v>EXTRACT</x:v>
      </x:c>
      <x:c r="K7" s="74" t="str">
        <x:v>data/reproduction/claim_evidence/source_extracts/S03_oracle_oot_validation.csv</x:v>
      </x:c>
      <x:c r="L7" s="74" t="str">
        <x:v>data/reproduction/claim_evidence/source_sidecars/S03.json</x:v>
      </x:c>
      <x:c r="M7" s="74" t="str">
        <x:v>FULL</x:v>
      </x:c>
      <x:c r="N7" s="74"/>
      <x:c r="O7" s="74"/>
      <x:c r="P7" s="74"/>
      <x:c r="Q7" s="74"/>
      <x:c r="R7" s="74"/>
      <x:c r="S7" s="74"/>
      <x:c r="T7" s="74"/>
      <x:c r="U7" s="74"/>
      <x:c r="V7" s="74"/>
    </x:row>
    <x:row r="8" ht="48" customHeight="1">
      <x:c r="A8" s="79" t="str">
        <x:v>S04</x:v>
      </x:c>
      <x:c r="B8" s="79" t="str">
        <x:v>B2 gap decomposition</x:v>
      </x:c>
      <x:c r="C8" s="79" t="str">
        <x:v>data/analysis/paper_repro/01_substrate_validation/b2_gap_decomposition/b2_gap_decomposition_report.json</x:v>
      </x:c>
      <x:c r="D8" s="79" t="str">
        <x:v>full report + sign/clipping decomposition</x:v>
      </x:c>
      <x:c r="E8" s="79" t="str">
        <x:v>status, decomposition metrics</x:v>
      </x:c>
      <x:c r="F8" s="79" t="str">
        <x:v>diagnose_b2_gap_decomposition</x:v>
      </x:c>
      <x:c r="G8" s="79" t="str">
        <x:v>paper output contract</x:v>
      </x:c>
      <x:c r="H8" s="79" t="str">
        <x:v>FROZEN</x:v>
      </x:c>
      <x:c r="I8" s="79" t="str"/>
      <x:c r="J8" s="74" t="str">
        <x:v>COPY_SMALL</x:v>
      </x:c>
      <x:c r="K8" s="74" t="str">
        <x:v>data/reproduction/claim_evidence/source_extracts/S04_b2_gap_decomposition.json</x:v>
      </x:c>
      <x:c r="L8" s="74" t="str">
        <x:v>data/reproduction/claim_evidence/source_sidecars/S04.json</x:v>
      </x:c>
      <x:c r="M8" s="74" t="str">
        <x:v>ANALYSIS</x:v>
      </x:c>
      <x:c r="N8" s="74"/>
      <x:c r="O8" s="74"/>
      <x:c r="P8" s="74"/>
      <x:c r="Q8" s="74"/>
      <x:c r="R8" s="74"/>
      <x:c r="S8" s="74"/>
      <x:c r="T8" s="74"/>
      <x:c r="U8" s="74"/>
      <x:c r="V8" s="74"/>
    </x:row>
    <x:row r="9" ht="48" customHeight="1">
      <x:c r="A9" s="79" t="str">
        <x:v>S05</x:v>
      </x:c>
      <x:c r="B9" s="79" t="str">
        <x:v>Counterfactual fidelity</x:v>
      </x:c>
      <x:c r="C9" s="79" t="str">
        <x:v>data/analysis/paper_repro/01_substrate_validation/test3_counterfactual_fidelity/test3_counterfactual_fidelity_report.json</x:v>
      </x:c>
      <x:c r="D9" s="79" t="str">
        <x:v>test3 summary</x:v>
      </x:c>
      <x:c r="E9" s="79" t="str">
        <x:v>status, property summaries</x:v>
      </x:c>
      <x:c r="F9" s="79" t="str">
        <x:v>counterfactual fidelity analysis</x:v>
      </x:c>
      <x:c r="G9" s="79" t="str">
        <x:v>paper output contract</x:v>
      </x:c>
      <x:c r="H9" s="79" t="str">
        <x:v>FROZEN</x:v>
      </x:c>
      <x:c r="I9" s="79" t="str"/>
      <x:c r="J9" s="74" t="str">
        <x:v>COPY_SMALL</x:v>
      </x:c>
      <x:c r="K9" s="74" t="str">
        <x:v>data/reproduction/claim_evidence/source_extracts/S05_counterfactual_fidelity.json</x:v>
      </x:c>
      <x:c r="L9" s="74" t="str">
        <x:v>data/reproduction/claim_evidence/source_sidecars/S05.json</x:v>
      </x:c>
      <x:c r="M9" s="74" t="str">
        <x:v>ANALYSIS</x:v>
      </x:c>
      <x:c r="N9" s="74"/>
      <x:c r="O9" s="74"/>
      <x:c r="P9" s="74"/>
      <x:c r="Q9" s="74"/>
      <x:c r="R9" s="74"/>
      <x:c r="S9" s="74"/>
      <x:c r="T9" s="74"/>
      <x:c r="U9" s="74"/>
      <x:c r="V9" s="74"/>
    </x:row>
    <x:row r="10" ht="48" customHeight="1">
      <x:c r="A10" s="79" t="str">
        <x:v>S06</x:v>
      </x:c>
      <x:c r="B10" s="79" t="str">
        <x:v>정적 평가해상도</x:v>
      </x:c>
      <x:c r="C10" s="79" t="str">
        <x:v>data/final_freeze/stage6_multi_oracle_eval/&lt;exact_static_resolution_artifact&gt;</x:v>
      </x:c>
      <x:c r="D10" s="79" t="str">
        <x:v>candidate landscape; Oracle-specific tie/action preference</x:v>
      </x:c>
      <x:c r="E10" s="79" t="str">
        <x:v>tie_rate, action_effect_sd, best_action_agreement</x:v>
      </x:c>
      <x:c r="F10" s="79" t="str">
        <x:v>Stage6 multi-Oracle evaluation</x:v>
      </x:c>
      <x:c r="G10" s="79" t="str">
        <x:v>Stage6 verifier</x:v>
      </x:c>
      <x:c r="H10" s="79" t="str">
        <x:v>PATH_CONFIRMATION_REQUIRED</x:v>
      </x:c>
      <x:c r="I10" s="79" t="str">
        <x:v>새 정적 요약 CSV를 별도 생성하는 편이 바람직함.</x:v>
      </x:c>
      <x:c r="J10" s="74" t="str">
        <x:v>GENERATE</x:v>
      </x:c>
      <x:c r="K10" s="74" t="str">
        <x:v>data/reproduction/claim_evidence/source_extracts/S06_static_evaluator_resolution.csv</x:v>
      </x:c>
      <x:c r="L10" s="74" t="str">
        <x:v>data/reproduction/claim_evidence/source_sidecars/S06.json</x:v>
      </x:c>
      <x:c r="M10" s="74" t="str">
        <x:v>ANALYSIS</x:v>
      </x:c>
      <x:c r="N10" s="74"/>
      <x:c r="O10" s="74"/>
      <x:c r="P10" s="74"/>
      <x:c r="Q10" s="74"/>
      <x:c r="R10" s="74"/>
      <x:c r="S10" s="74"/>
      <x:c r="T10" s="74"/>
      <x:c r="U10" s="74"/>
      <x:c r="V10" s="74"/>
    </x:row>
    <x:row r="11" ht="48" customHeight="1">
      <x:c r="A11" s="79" t="str">
        <x:v>S07</x:v>
      </x:c>
      <x:c r="B11" s="79" t="str">
        <x:v>P50 후보 라이브러리</x:v>
      </x:c>
      <x:c r="C11" s="79" t="str">
        <x:v>data/final_freeze/stage2_candidate_projection/final_candidate_library__P50.yaml</x:v>
      </x:c>
      <x:c r="D11" s="79" t="str">
        <x:v>full YAML</x:v>
      </x:c>
      <x:c r="E11" s="79" t="str">
        <x:v>action IDs and 10D vectors</x:v>
      </x:c>
      <x:c r="F11" s="79" t="str">
        <x:v>Stage2 candidate projection</x:v>
      </x:c>
      <x:c r="G11" s="79" t="str">
        <x:v>candidate provenance verifier</x:v>
      </x:c>
      <x:c r="H11" s="79" t="str">
        <x:v>PROVENANCE_PENDING</x:v>
      </x:c>
      <x:c r="I11" s="79" t="str">
        <x:v>원자료 파일: 등록 경로의 파일 사용</x:v>
      </x:c>
      <x:c r="J11" s="74" t="str">
        <x:v>COPY_SMALL</x:v>
      </x:c>
      <x:c r="K11" s="74" t="str">
        <x:v>data/reproduction/claim_evidence/source_extracts/S07_p50_candidate_library.yaml</x:v>
      </x:c>
      <x:c r="L11" s="74" t="str">
        <x:v>data/reproduction/claim_evidence/source_sidecars/S07.json</x:v>
      </x:c>
      <x:c r="M11" s="74" t="str">
        <x:v>FULL</x:v>
      </x:c>
      <x:c r="N11" s="74"/>
      <x:c r="O11" s="74"/>
      <x:c r="P11" s="74"/>
      <x:c r="Q11" s="74"/>
      <x:c r="R11" s="74"/>
      <x:c r="S11" s="74"/>
      <x:c r="T11" s="74"/>
      <x:c r="U11" s="74"/>
      <x:c r="V11" s="74"/>
    </x:row>
    <x:row r="12" ht="48" customHeight="1">
      <x:c r="A12" s="79" t="str">
        <x:v>S08</x:v>
      </x:c>
      <x:c r="B12" s="79" t="str">
        <x:v>후보 라이브러리 감사</x:v>
      </x:c>
      <x:c r="C12" s="79" t="str">
        <x:v>data/analysis/paper_repro/05_prewrite_audit/candidate_scale_audit.csv</x:v>
      </x:c>
      <x:c r="D12" s="79" t="str">
        <x:v>all metadata declarations</x:v>
      </x:c>
      <x:c r="E12" s="79" t="str">
        <x:v>quantile, source</x:v>
      </x:c>
      <x:c r="F12" s="79" t="str">
        <x:v>prewrite audit migration</x:v>
      </x:c>
      <x:c r="G12" s="79" t="str">
        <x:v>claim-evidence verifier</x:v>
      </x:c>
      <x:c r="H12" s="79" t="str">
        <x:v>TO_MIGRATE</x:v>
      </x:c>
      <x:c r="I12" s="79" t="str"/>
      <x:c r="J12" s="74" t="str">
        <x:v>COPY_SMALL</x:v>
      </x:c>
      <x:c r="K12" s="74" t="str">
        <x:v>data/reproduction/claim_evidence/source_extracts/S08_candidate_scale_audit.csv</x:v>
      </x:c>
      <x:c r="L12" s="74" t="str">
        <x:v>data/reproduction/claim_evidence/source_sidecars/S08.json</x:v>
      </x:c>
      <x:c r="M12" s="74" t="str">
        <x:v>PROVENANCE_ONLY</x:v>
      </x:c>
      <x:c r="N12" s="74"/>
      <x:c r="O12" s="74"/>
      <x:c r="P12" s="74"/>
      <x:c r="Q12" s="74"/>
      <x:c r="R12" s="74"/>
      <x:c r="S12" s="74"/>
      <x:c r="T12" s="74"/>
      <x:c r="U12" s="74"/>
      <x:c r="V12" s="74"/>
    </x:row>
    <x:row r="13" ht="48" customHeight="1">
      <x:c r="A13" s="79" t="str">
        <x:v>S09</x:v>
      </x:c>
      <x:c r="B13" s="79" t="str">
        <x:v>Stage9 정책요약</x:v>
      </x:c>
      <x:c r="C13" s="79" t="str">
        <x:v>data/final_freeze/llm_runs/ICb_gpt54mini_p50_live_seed1/stage9_llm_rl_comparison/llm_stage9_policy_summary.csv</x:v>
      </x:c>
      <x:c r="D13" s="79" t="str">
        <x:v>mode and policy filters</x:v>
      </x:c>
      <x:c r="E13" s="79" t="str">
        <x:v>policy, mode, oracle, mean_delta_noop</x:v>
      </x:c>
      <x:c r="F13" s="79" t="str">
        <x:v>Stage9 comparison</x:v>
      </x:c>
      <x:c r="G13" s="79" t="str">
        <x:v>Stage9 verifier</x:v>
      </x:c>
      <x:c r="H13" s="79" t="str">
        <x:v>FROZEN</x:v>
      </x:c>
      <x:c r="I13" s="79" t="str"/>
      <x:c r="J13" s="74" t="str">
        <x:v>EXTRACT</x:v>
      </x:c>
      <x:c r="K13" s="74" t="str">
        <x:v>data/reproduction/claim_evidence/source_extracts/S09_stage9_policy_summary.csv</x:v>
      </x:c>
      <x:c r="L13" s="74" t="str">
        <x:v>data/reproduction/claim_evidence/source_sidecars/S09.json</x:v>
      </x:c>
      <x:c r="M13" s="74" t="str">
        <x:v>FROZEN_LLM_REANALYSIS</x:v>
      </x:c>
      <x:c r="N13" s="74"/>
      <x:c r="O13" s="74"/>
      <x:c r="P13" s="74"/>
      <x:c r="Q13" s="74"/>
      <x:c r="R13" s="74"/>
      <x:c r="S13" s="74"/>
      <x:c r="T13" s="74"/>
      <x:c r="U13" s="74"/>
      <x:c r="V13" s="74"/>
    </x:row>
    <x:row r="14" ht="48" customHeight="1">
      <x:c r="A14" s="79" t="str">
        <x:v>S10</x:v>
      </x:c>
      <x:c r="B14" s="79" t="str">
        <x:v>RL 7-seed 원장</x:v>
      </x:c>
      <x:c r="C14" s="79" t="str">
        <x:v>data/final_freeze/rl_reproducibility/&lt;exact_seven_seed_summary.csv&gt;</x:v>
      </x:c>
      <x:c r="D14" s="79" t="str">
        <x:v>policy=C3; seeds=1–7</x:v>
      </x:c>
      <x:c r="E14" s="79" t="str">
        <x:v>seed, oracle, mean_delta_noop, selected_action</x:v>
      </x:c>
      <x:c r="F14" s="79" t="str">
        <x:v>RL seven-seed runner</x:v>
      </x:c>
      <x:c r="G14" s="79" t="str">
        <x:v>RL reproducibility verifier</x:v>
      </x:c>
      <x:c r="H14" s="79" t="str">
        <x:v>PATH_CONFIRMATION_REQUIRED</x:v>
      </x:c>
      <x:c r="I14" s="79" t="str">
        <x:v>평균·SD와 행동정체성 원장을 정확히 연결해야 함.</x:v>
      </x:c>
      <x:c r="J14" s="74" t="str">
        <x:v>GENERATE</x:v>
      </x:c>
      <x:c r="K14" s="74" t="str">
        <x:v>data/reproduction/claim_evidence/source_extracts/S10_rl_seven_seed_summary.csv</x:v>
      </x:c>
      <x:c r="L14" s="74" t="str">
        <x:v>data/reproduction/claim_evidence/source_sidecars/S10.json</x:v>
      </x:c>
      <x:c r="M14" s="74" t="str">
        <x:v>FULL</x:v>
      </x:c>
      <x:c r="N14" s="74"/>
      <x:c r="O14" s="74"/>
      <x:c r="P14" s="74"/>
      <x:c r="Q14" s="74"/>
      <x:c r="R14" s="74"/>
      <x:c r="S14" s="74"/>
      <x:c r="T14" s="74"/>
      <x:c r="U14" s="74"/>
      <x:c r="V14" s="74"/>
    </x:row>
    <x:row r="15" ht="48" customHeight="1">
      <x:c r="A15" s="79" t="str">
        <x:v>S11</x:v>
      </x:c>
      <x:c r="B15" s="79" t="str">
        <x:v>자유작성 귀속</x:v>
      </x:c>
      <x:c r="C15" s="79" t="str">
        <x:v>data/analysis/paper_repro/03_output_contract_diagnostics/ablation/IC-b/ICb_gpt54mini_p50_live_seed1/</x:v>
      </x:c>
      <x:c r="D15" s="79" t="str">
        <x:v>variants={global_mean,row_shuffle,l1_rescale,candidate_budget,nearest_projection,sign_flip}</x:v>
      </x:c>
      <x:c r="E15" s="79" t="str">
        <x:v>paired effect, action L1, projection distance, policy summary</x:v>
      </x:c>
      <x:c r="F15" s="79" t="str">
        <x:v>ablation/sign-flip analysis</x:v>
      </x:c>
      <x:c r="G15" s="79" t="str">
        <x:v>paper output contract</x:v>
      </x:c>
      <x:c r="H15" s="79" t="str">
        <x:v>FROZEN_GROUP</x:v>
      </x:c>
      <x:c r="I15" s="79" t="str"/>
      <x:c r="J15" s="74" t="str">
        <x:v>GENERATE_MANIFEST</x:v>
      </x:c>
      <x:c r="K15" s="74" t="str">
        <x:v>data/reproduction/claim_evidence/source_extracts/S11_freeform_attribution_manifest.json</x:v>
      </x:c>
      <x:c r="L15" s="74" t="str">
        <x:v>data/reproduction/claim_evidence/source_sidecars/S11.json</x:v>
      </x:c>
      <x:c r="M15" s="74" t="str">
        <x:v>FROZEN_LLM_REANALYSIS</x:v>
      </x:c>
      <x:c r="N15" s="74"/>
      <x:c r="O15" s="74"/>
      <x:c r="P15" s="74"/>
      <x:c r="Q15" s="74"/>
      <x:c r="R15" s="74"/>
      <x:c r="S15" s="74"/>
      <x:c r="T15" s="74"/>
      <x:c r="U15" s="74"/>
      <x:c r="V15" s="74"/>
    </x:row>
    <x:row r="16" ht="48" customHeight="1">
      <x:c r="A16" s="79" t="str">
        <x:v>S12</x:v>
      </x:c>
      <x:c r="B16" s="79" t="str">
        <x:v>H1 추론 점수효과</x:v>
      </x:c>
      <x:c r="C16" s="79" t="str">
        <x:v>data/analysis/paper_repro/02_llm_hypothesis_tests/holm_h1_h3/holm_H1_score.csv</x:v>
      </x:c>
      <x:c r="D16" s="79" t="str">
        <x:v>backend∈{gpt54mini,gpt41mini,haiku45}; information_condition=IC-b; mode=free_form_10d; preregistered H1 contrasts</x:v>
      </x:c>
      <x:c r="E16" s="79" t="str">
        <x:v>backend, contrast, mean_diff, ci_low, ci_high, p_raw, p_holm, decision, execution_contract</x:v>
      </x:c>
      <x:c r="F16" s="79" t="str">
        <x:v>LLM hypothesis tests</x:v>
      </x:c>
      <x:c r="G16" s="79" t="str">
        <x:v>paper output contract</x:v>
      </x:c>
      <x:c r="H16" s="79" t="str">
        <x:v>FROZEN</x:v>
      </x:c>
      <x:c r="I16" s="79" t="str">
        <x:v>기존 3백엔드 H1 계약. E4 matched-budget QC와 별도. Canonical extract는 backend label을 보존해야 함.</x:v>
      </x:c>
      <x:c r="J16" s="74" t="str">
        <x:v>COPY_SMALL</x:v>
      </x:c>
      <x:c r="K16" s="74" t="str">
        <x:v>data/reproduction/claim_evidence/source_extracts/S12_h1_reasoning_score.csv</x:v>
      </x:c>
      <x:c r="L16" s="74" t="str">
        <x:v>data/reproduction/claim_evidence/source_sidecars/S12.json</x:v>
      </x:c>
      <x:c r="M16" s="74" t="str">
        <x:v>FROZEN_LLM_REANALYSIS</x:v>
      </x:c>
      <x:c r="N16" s="74"/>
      <x:c r="O16" s="74"/>
      <x:c r="P16" s="74"/>
      <x:c r="Q16" s="74"/>
      <x:c r="R16" s="74"/>
      <x:c r="S16" s="74"/>
      <x:c r="T16" s="74"/>
      <x:c r="U16" s="74"/>
      <x:c r="V16" s="74"/>
    </x:row>
    <x:row r="17" ht="48" customHeight="1">
      <x:c r="A17" s="79" t="str">
        <x:v>S13</x:v>
      </x:c>
      <x:c r="B17" s="79" t="str">
        <x:v>IC-c 인식 조건부</x:v>
      </x:c>
      <x:c r="C17" s="79" t="str">
        <x:v>data/analysis/paper_repro/05_prewrite_audit/ic_name_recognition_conditional.csv</x:v>
      </x:c>
      <x:c r="D17" s="79" t="str">
        <x:v>recognized=444 vs unrecognized=131; 36 tests</x:v>
      </x:c>
      <x:c r="E17" s="79" t="str">
        <x:v>effect_gap, bootstrap CI, permutation p, Holm p</x:v>
      </x:c>
      <x:c r="F17" s="79" t="str">
        <x:v>prewrite audit migration</x:v>
      </x:c>
      <x:c r="G17" s="79" t="str">
        <x:v>claim-evidence verifier</x:v>
      </x:c>
      <x:c r="H17" s="79" t="str">
        <x:v>TO_MIGRATE</x:v>
      </x:c>
      <x:c r="I17" s="79" t="str"/>
      <x:c r="J17" s="74" t="str">
        <x:v>COPY_SMALL</x:v>
      </x:c>
      <x:c r="K17" s="74" t="str">
        <x:v>data/reproduction/claim_evidence/source_extracts/S13_icc_recognition_conditional.csv</x:v>
      </x:c>
      <x:c r="L17" s="74" t="str">
        <x:v>data/reproduction/claim_evidence/source_sidecars/S13.json</x:v>
      </x:c>
      <x:c r="M17" s="74" t="str">
        <x:v>PROVENANCE_ONLY</x:v>
      </x:c>
      <x:c r="N17" s="74"/>
      <x:c r="O17" s="74"/>
      <x:c r="P17" s="74"/>
      <x:c r="Q17" s="74"/>
      <x:c r="R17" s="74"/>
      <x:c r="S17" s="74"/>
      <x:c r="T17" s="74"/>
      <x:c r="U17" s="74"/>
      <x:c r="V17" s="74"/>
    </x:row>
    <x:row r="18" ht="48" customHeight="1">
      <x:c r="A18" s="79" t="str">
        <x:v>S14</x:v>
      </x:c>
      <x:c r="B18" s="79" t="str">
        <x:v>H3 참조 출처</x:v>
      </x:c>
      <x:c r="C18" s="79" t="str">
        <x:v>data/analysis/paper_repro/02_llm_hypothesis_tests/holm_h1_h3/holm_H3_reference.csv</x:v>
      </x:c>
      <x:c r="D18" s="79" t="str">
        <x:v>contrast=C6-C6X; mode=free_form_10d</x:v>
      </x:c>
      <x:c r="E18" s="79" t="str">
        <x:v>backend, mean_diff, p_holm</x:v>
      </x:c>
      <x:c r="F18" s="79" t="str">
        <x:v>LLM hypothesis tests</x:v>
      </x:c>
      <x:c r="G18" s="79" t="str">
        <x:v>paper output contract</x:v>
      </x:c>
      <x:c r="H18" s="79" t="str">
        <x:v>FROZEN</x:v>
      </x:c>
      <x:c r="I18" s="79" t="str"/>
      <x:c r="J18" s="74" t="str">
        <x:v>COPY_SMALL</x:v>
      </x:c>
      <x:c r="K18" s="74" t="str">
        <x:v>data/reproduction/claim_evidence/source_extracts/S14_h3_reference_source.csv</x:v>
      </x:c>
      <x:c r="L18" s="74" t="str">
        <x:v>data/reproduction/claim_evidence/source_sidecars/S14.json</x:v>
      </x:c>
      <x:c r="M18" s="74" t="str">
        <x:v>FROZEN_LLM_REANALYSIS</x:v>
      </x:c>
      <x:c r="N18" s="74"/>
      <x:c r="O18" s="74"/>
      <x:c r="P18" s="74"/>
      <x:c r="Q18" s="74"/>
      <x:c r="R18" s="74"/>
      <x:c r="S18" s="74"/>
      <x:c r="T18" s="74"/>
      <x:c r="U18" s="74"/>
      <x:c r="V18" s="74"/>
    </x:row>
    <x:row r="19" ht="48" customHeight="1">
      <x:c r="A19" s="79" t="str">
        <x:v>S15</x:v>
      </x:c>
      <x:c r="B19" s="79" t="str">
        <x:v>C8 참조 시점</x:v>
      </x:c>
      <x:c r="C19" s="79" t="str">
        <x:v>data/analysis/paper_repro/02_llm_hypothesis_tests/c8_timing/&lt;exact_paired_contrast.csv&gt;</x:v>
      </x:c>
      <x:c r="D19" s="79" t="str">
        <x:v>preregistered C8 timing contrast</x:v>
      </x:c>
      <x:c r="E19" s="79" t="str">
        <x:v>paired_n, mean_diff, ci, adjusted_p, decision</x:v>
      </x:c>
      <x:c r="F19" s="79" t="str">
        <x:v>Stage9 extractor or new timing module</x:v>
      </x:c>
      <x:c r="G19" s="79" t="str">
        <x:v>claim-evidence verifier</x:v>
      </x:c>
      <x:c r="H19" s="79" t="str">
        <x:v>PATH_CONFIRMATION_REQUIRED</x:v>
      </x:c>
      <x:c r="I19" s="79" t="str">
        <x:v>확인 전에는 결과형 Claim으로 강화하지 않음.</x:v>
      </x:c>
      <x:c r="J19" s="74" t="str">
        <x:v>GENERATE</x:v>
      </x:c>
      <x:c r="K19" s="74" t="str">
        <x:v>data/reproduction/claim_evidence/source_extracts/S15_c8_timing_contrast.csv</x:v>
      </x:c>
      <x:c r="L19" s="74" t="str">
        <x:v>data/reproduction/claim_evidence/source_sidecars/S15.json</x:v>
      </x:c>
      <x:c r="M19" s="74" t="str">
        <x:v>FROZEN_LLM_REANALYSIS</x:v>
      </x:c>
      <x:c r="N19" s="74"/>
      <x:c r="O19" s="74"/>
      <x:c r="P19" s="74"/>
      <x:c r="Q19" s="74"/>
      <x:c r="R19" s="74"/>
      <x:c r="S19" s="74"/>
      <x:c r="T19" s="74"/>
      <x:c r="U19" s="74"/>
      <x:c r="V19" s="74"/>
    </x:row>
    <x:row r="20" ht="48" customHeight="1">
      <x:c r="A20" s="79" t="str">
        <x:v>S16</x:v>
      </x:c>
      <x:c r="B20" s="79" t="str">
        <x:v>E3 interactions</x:v>
      </x:c>
      <x:c r="C20" s="79" t="str">
        <x:v>data/analysis/paper_repro/05_extension_e3_e4/e3_c4r_journal/v3_matched/c4r_matched_v3_interactions.csv</x:v>
      </x:c>
      <x:c r="D20" s="79" t="str">
        <x:v>backend/oracle/component/budget filters</x:v>
      </x:c>
      <x:c r="E20" s="79" t="str">
        <x:v>interaction, ci, p_holm_primary</x:v>
      </x:c>
      <x:c r="F20" s="79" t="str">
        <x:v>c4r_matched_inference_v3</x:v>
      </x:c>
      <x:c r="G20" s="79" t="str">
        <x:v>analysis extensions verifier</x:v>
      </x:c>
      <x:c r="H20" s="79" t="str">
        <x:v>FROZEN</x:v>
      </x:c>
      <x:c r="I20" s="79" t="str"/>
      <x:c r="J20" s="74" t="str">
        <x:v>EXTRACT</x:v>
      </x:c>
      <x:c r="K20" s="74" t="str">
        <x:v>data/reproduction/claim_evidence/source_extracts/S16_e3_interactions.csv</x:v>
      </x:c>
      <x:c r="L20" s="74" t="str">
        <x:v>data/reproduction/claim_evidence/source_sidecars/S16.json</x:v>
      </x:c>
      <x:c r="M20" s="74" t="str">
        <x:v>FROZEN_LLM_REANALYSIS</x:v>
      </x:c>
      <x:c r="N20" s="74"/>
      <x:c r="O20" s="74"/>
      <x:c r="P20" s="74"/>
      <x:c r="Q20" s="74"/>
      <x:c r="R20" s="74"/>
      <x:c r="S20" s="74"/>
      <x:c r="T20" s="74"/>
      <x:c r="U20" s="74"/>
      <x:c r="V20" s="74"/>
    </x:row>
    <x:row r="21" ht="48" customHeight="1">
      <x:c r="A21" s="79" t="str">
        <x:v>S17</x:v>
      </x:c>
      <x:c r="B21" s="79" t="str">
        <x:v>E3 contrasts</x:v>
      </x:c>
      <x:c r="C21" s="79" t="str">
        <x:v>data/analysis/paper_repro/05_extension_e3_e4/e3_c4r_journal/v3_matched/c4r_matched_v3_contrasts.csv</x:v>
      </x:c>
      <x:c r="D21" s="79" t="str">
        <x:v>backend/oracle/component/budget filters</x:v>
      </x:c>
      <x:c r="E21" s="79" t="str">
        <x:v>mean_diff, ci, p_holm_primary</x:v>
      </x:c>
      <x:c r="F21" s="79" t="str">
        <x:v>c4r_matched_inference_v3</x:v>
      </x:c>
      <x:c r="G21" s="79" t="str">
        <x:v>analysis extensions verifier</x:v>
      </x:c>
      <x:c r="H21" s="79" t="str">
        <x:v>FROZEN</x:v>
      </x:c>
      <x:c r="I21" s="79" t="str"/>
      <x:c r="J21" s="74" t="str">
        <x:v>EXTRACT</x:v>
      </x:c>
      <x:c r="K21" s="74" t="str">
        <x:v>data/reproduction/claim_evidence/source_extracts/S17_e3_contrasts.csv</x:v>
      </x:c>
      <x:c r="L21" s="74" t="str">
        <x:v>data/reproduction/claim_evidence/source_sidecars/S17.json</x:v>
      </x:c>
      <x:c r="M21" s="74" t="str">
        <x:v>FROZEN_LLM_REANALYSIS</x:v>
      </x:c>
      <x:c r="N21" s="74"/>
      <x:c r="O21" s="74"/>
      <x:c r="P21" s="74"/>
      <x:c r="Q21" s="74"/>
      <x:c r="R21" s="74"/>
      <x:c r="S21" s="74"/>
      <x:c r="T21" s="74"/>
      <x:c r="U21" s="74"/>
      <x:c r="V21" s="74"/>
    </x:row>
    <x:row r="22" ht="48" customHeight="1">
      <x:c r="A22" s="79" t="str">
        <x:v>S18</x:v>
      </x:c>
      <x:c r="B22" s="79" t="str">
        <x:v>R3 TOST</x:v>
      </x:c>
      <x:c r="C22" s="79" t="str">
        <x:v>data/analysis/paper_repro/05_extension_e3_e4/e3_c4r_journal/tost_alpha/</x:v>
      </x:c>
      <x:c r="D22" s="79" t="str">
        <x:v>within-arm and interaction files; margin=0.109</x:v>
      </x:c>
      <x:c r="E22" s="79" t="str">
        <x:v>lower/upper CI, equivalence decision</x:v>
      </x:c>
      <x:c r="F22" s="79" t="str">
        <x:v>c4r_tost_equivalence</x:v>
      </x:c>
      <x:c r="G22" s="79" t="str">
        <x:v>analysis extensions verifier</x:v>
      </x:c>
      <x:c r="H22" s="79" t="str">
        <x:v>FROZEN_GROUP</x:v>
      </x:c>
      <x:c r="I22" s="79" t="str"/>
      <x:c r="J22" s="74" t="str">
        <x:v>GENERATE_MANIFEST</x:v>
      </x:c>
      <x:c r="K22" s="74" t="str">
        <x:v>data/reproduction/claim_evidence/source_extracts/S18_tost_manifest.json</x:v>
      </x:c>
      <x:c r="L22" s="74" t="str">
        <x:v>data/reproduction/claim_evidence/source_sidecars/S18.json</x:v>
      </x:c>
      <x:c r="M22" s="74" t="str">
        <x:v>FROZEN_LLM_REANALYSIS</x:v>
      </x:c>
      <x:c r="N22" s="74"/>
      <x:c r="O22" s="74"/>
      <x:c r="P22" s="74"/>
      <x:c r="Q22" s="74"/>
      <x:c r="R22" s="74"/>
      <x:c r="S22" s="74"/>
      <x:c r="T22" s="74"/>
      <x:c r="U22" s="74"/>
      <x:c r="V22" s="74"/>
    </x:row>
    <x:row r="23" ht="48" customHeight="1">
      <x:c r="A23" s="79" t="str">
        <x:v>S19</x:v>
      </x:c>
      <x:c r="B23" s="79" t="str">
        <x:v>E2–E3 실행계보</x:v>
      </x:c>
      <x:c r="C23" s="79" t="str">
        <x:v>data/analysis/paper_repro/05_prewrite_audit/run_lineage_matrix.csv</x:v>
      </x:c>
      <x:c r="D23" s="79" t="str">
        <x:v>matching budgets={0.75,no-explicit-budget}</x:v>
      </x:c>
      <x:c r="E23" s="79" t="str">
        <x:v>action_vector_match</x:v>
      </x:c>
      <x:c r="F23" s="79" t="str">
        <x:v>prewrite audit migration</x:v>
      </x:c>
      <x:c r="G23" s="79" t="str">
        <x:v>claim-evidence verifier</x:v>
      </x:c>
      <x:c r="H23" s="79" t="str">
        <x:v>TO_MIGRATE</x:v>
      </x:c>
      <x:c r="I23" s="79" t="str"/>
      <x:c r="J23" s="74" t="str">
        <x:v>COPY_SMALL</x:v>
      </x:c>
      <x:c r="K23" s="74" t="str">
        <x:v>data/reproduction/claim_evidence/source_extracts/S19_e2_e3_lineage.csv</x:v>
      </x:c>
      <x:c r="L23" s="74" t="str">
        <x:v>data/reproduction/claim_evidence/source_sidecars/S19.json</x:v>
      </x:c>
      <x:c r="M23" s="74" t="str">
        <x:v>PROVENANCE_ONLY</x:v>
      </x:c>
      <x:c r="N23" s="74"/>
      <x:c r="O23" s="74"/>
      <x:c r="P23" s="74"/>
      <x:c r="Q23" s="74"/>
      <x:c r="R23" s="74"/>
      <x:c r="S23" s="74"/>
      <x:c r="T23" s="74"/>
      <x:c r="U23" s="74"/>
      <x:c r="V23" s="74"/>
    </x:row>
    <x:row r="24" ht="48" customHeight="1">
      <x:c r="A24" s="79" t="str">
        <x:v>S20</x:v>
      </x:c>
      <x:c r="B24" s="79" t="str">
        <x:v>Raw 행동 요약</x:v>
      </x:c>
      <x:c r="C24" s="79" t="str">
        <x:v>data/analysis/paper_repro/05_prewrite_audit/raw_action_summary.csv</x:v>
      </x:c>
      <x:c r="D24" s="79" t="str">
        <x:v>backend/condition/budget filters</x:v>
      </x:c>
      <x:c r="E24" s="79" t="str">
        <x:v>raw_l1, active_dims, concentration</x:v>
      </x:c>
      <x:c r="F24" s="79" t="str">
        <x:v>prewrite audit migration</x:v>
      </x:c>
      <x:c r="G24" s="79" t="str">
        <x:v>claim-evidence verifier</x:v>
      </x:c>
      <x:c r="H24" s="79" t="str">
        <x:v>TO_MIGRATE</x:v>
      </x:c>
      <x:c r="I24" s="79" t="str"/>
      <x:c r="J24" s="74" t="str">
        <x:v>COPY_SMALL</x:v>
      </x:c>
      <x:c r="K24" s="74" t="str">
        <x:v>data/reproduction/claim_evidence/source_extracts/S20_raw_action_summary.csv</x:v>
      </x:c>
      <x:c r="L24" s="74" t="str">
        <x:v>data/reproduction/claim_evidence/source_sidecars/S20.json</x:v>
      </x:c>
      <x:c r="M24" s="74" t="str">
        <x:v>PROVENANCE_ONLY</x:v>
      </x:c>
      <x:c r="N24" s="74"/>
      <x:c r="O24" s="74"/>
      <x:c r="P24" s="74"/>
      <x:c r="Q24" s="74"/>
      <x:c r="R24" s="74"/>
      <x:c r="S24" s="74"/>
      <x:c r="T24" s="74"/>
      <x:c r="U24" s="74"/>
      <x:c r="V24" s="74"/>
    </x:row>
    <x:row r="25" ht="48" customHeight="1">
      <x:c r="A25" s="79" t="str">
        <x:v>S21</x:v>
      </x:c>
      <x:c r="B25" s="79" t="str">
        <x:v>Raw 행동 paired tests</x:v>
      </x:c>
      <x:c r="C25" s="79" t="str">
        <x:v>data/analysis/paper_repro/05_prewrite_audit/raw_action_budget_tests.csv</x:v>
      </x:c>
      <x:c r="D25" s="79" t="str">
        <x:v>finite vs no-explicit-budget paired tests</x:v>
      </x:c>
      <x:c r="E25" s="79" t="str">
        <x:v>mean_diff, ci, p_adjusted</x:v>
      </x:c>
      <x:c r="F25" s="79" t="str">
        <x:v>prewrite audit migration</x:v>
      </x:c>
      <x:c r="G25" s="79" t="str">
        <x:v>claim-evidence verifier</x:v>
      </x:c>
      <x:c r="H25" s="79" t="str">
        <x:v>TO_MIGRATE</x:v>
      </x:c>
      <x:c r="I25" s="79" t="str"/>
      <x:c r="J25" s="74" t="str">
        <x:v>COPY_SMALL</x:v>
      </x:c>
      <x:c r="K25" s="74" t="str">
        <x:v>data/reproduction/claim_evidence/source_extracts/S21_raw_action_budget_tests.csv</x:v>
      </x:c>
      <x:c r="L25" s="74" t="str">
        <x:v>data/reproduction/claim_evidence/source_sidecars/S21.json</x:v>
      </x:c>
      <x:c r="M25" s="74" t="str">
        <x:v>PROVENANCE_ONLY</x:v>
      </x:c>
      <x:c r="N25" s="74"/>
      <x:c r="O25" s="74"/>
      <x:c r="P25" s="74"/>
      <x:c r="Q25" s="74"/>
      <x:c r="R25" s="74"/>
      <x:c r="S25" s="74"/>
      <x:c r="T25" s="74"/>
      <x:c r="U25" s="74"/>
      <x:c r="V25" s="74"/>
    </x:row>
    <x:row r="26" ht="48" customHeight="1">
      <x:c r="A26" s="79" t="str">
        <x:v>S22</x:v>
      </x:c>
      <x:c r="B26" s="79" t="str">
        <x:v>Canonical clipping</x:v>
      </x:c>
      <x:c r="C26" s="79" t="str">
        <x:v>data/analysis/paper_repro/05_prewrite_audit/clipping_canonical_audit_v2.csv</x:v>
      </x:c>
      <x:c r="D26" s="79" t="str">
        <x:v>backend/condition/budget</x:v>
      </x:c>
      <x:c r="E26" s="79" t="str">
        <x:v>raw_over_budget_rate, axis_clipping_rate, near_budget_rate</x:v>
      </x:c>
      <x:c r="F26" s="79" t="str">
        <x:v>prewrite audit migration</x:v>
      </x:c>
      <x:c r="G26" s="79" t="str">
        <x:v>claim-evidence verifier</x:v>
      </x:c>
      <x:c r="H26" s="79" t="str">
        <x:v>TO_MIGRATE</x:v>
      </x:c>
      <x:c r="I26" s="79" t="str"/>
      <x:c r="J26" s="74" t="str">
        <x:v>COPY_SMALL</x:v>
      </x:c>
      <x:c r="K26" s="74" t="str">
        <x:v>data/reproduction/claim_evidence/source_extracts/S22_canonical_clipping.csv</x:v>
      </x:c>
      <x:c r="L26" s="74" t="str">
        <x:v>data/reproduction/claim_evidence/source_sidecars/S22.json</x:v>
      </x:c>
      <x:c r="M26" s="74" t="str">
        <x:v>PROVENANCE_ONLY</x:v>
      </x:c>
      <x:c r="N26" s="74"/>
      <x:c r="O26" s="74"/>
      <x:c r="P26" s="74"/>
      <x:c r="Q26" s="74"/>
      <x:c r="R26" s="74"/>
      <x:c r="S26" s="74"/>
      <x:c r="T26" s="74"/>
      <x:c r="U26" s="74"/>
      <x:c r="V26" s="74"/>
    </x:row>
    <x:row r="27" ht="48" customHeight="1">
      <x:c r="A27" s="79" t="str">
        <x:v>S23</x:v>
      </x:c>
      <x:c r="B27" s="79" t="str">
        <x:v>수정 희석 요건</x:v>
      </x:c>
      <x:c r="C27" s="79" t="str">
        <x:v>data/analysis/paper_repro/05_extension_e3_e4/e3_c4r_journal/revision_dilution/revision_dilution_summary.csv</x:v>
      </x:c>
      <x:c r="D27" s="79" t="str">
        <x:v>five preregistered operational criteria</x:v>
      </x:c>
      <x:c r="E27" s="79" t="str">
        <x:v>L1, active_dims, concentration, removal_mass, score</x:v>
      </x:c>
      <x:c r="F27" s="79" t="str">
        <x:v>new E3 revision-dilution module</x:v>
      </x:c>
      <x:c r="G27" s="79" t="str">
        <x:v>new contract verifier</x:v>
      </x:c>
      <x:c r="H27" s="79" t="str">
        <x:v>RECOMPUTE_REQUIRED</x:v>
      </x:c>
      <x:c r="I27" s="79" t="str">
        <x:v>5개 요건 확인 전 ‘수정 희석’ 확정 명명 금지.</x:v>
      </x:c>
      <x:c r="J27" s="74" t="str">
        <x:v>GENERATE</x:v>
      </x:c>
      <x:c r="K27" s="74" t="str">
        <x:v>data/reproduction/claim_evidence/source_extracts/S23_revision_dilution_summary.csv</x:v>
      </x:c>
      <x:c r="L27" s="74" t="str">
        <x:v>data/reproduction/claim_evidence/source_sidecars/S23.json</x:v>
      </x:c>
      <x:c r="M27" s="74" t="str">
        <x:v>FROZEN_LLM_REANALYSIS</x:v>
      </x:c>
      <x:c r="N27" s="74"/>
      <x:c r="O27" s="74"/>
      <x:c r="P27" s="74"/>
      <x:c r="Q27" s="74"/>
      <x:c r="R27" s="74"/>
      <x:c r="S27" s="74"/>
      <x:c r="T27" s="74"/>
      <x:c r="U27" s="74"/>
      <x:c r="V27" s="74"/>
    </x:row>
    <x:row r="28" ht="48" customHeight="1">
      <x:c r="A28" s="79" t="str">
        <x:v>S24</x:v>
      </x:c>
      <x:c r="B28" s="79" t="str">
        <x:v>Shapley·축귀속</x:v>
      </x:c>
      <x:c r="C28" s="79" t="str">
        <x:v>data/analysis/paper_repro/05_extension_e3_e4/e3_c4r_journal/axis_summary/c4r_axis_shapley_summary.csv</x:v>
      </x:c>
      <x:c r="D28" s="79" t="str">
        <x:v>backend/budget/transition/axis</x:v>
      </x:c>
      <x:c r="E28" s="79" t="str">
        <x:v>shapley_value, sign, efficiency audit</x:v>
      </x:c>
      <x:c r="F28" s="79" t="str">
        <x:v>64-permutation Shapley</x:v>
      </x:c>
      <x:c r="G28" s="79" t="str">
        <x:v>analysis extensions verifier</x:v>
      </x:c>
      <x:c r="H28" s="79" t="str">
        <x:v>FROZEN</x:v>
      </x:c>
      <x:c r="I28" s="79" t="str"/>
      <x:c r="J28" s="74" t="str">
        <x:v>EXTRACT</x:v>
      </x:c>
      <x:c r="K28" s="74" t="str">
        <x:v>data/reproduction/claim_evidence/source_extracts/S24_shapley_summary.csv</x:v>
      </x:c>
      <x:c r="L28" s="74" t="str">
        <x:v>data/reproduction/claim_evidence/source_sidecars/S24.json</x:v>
      </x:c>
      <x:c r="M28" s="74" t="str">
        <x:v>FROZEN_LLM_REANALYSIS</x:v>
      </x:c>
      <x:c r="N28" s="74"/>
      <x:c r="O28" s="74"/>
      <x:c r="P28" s="74"/>
      <x:c r="Q28" s="74"/>
      <x:c r="R28" s="74"/>
      <x:c r="S28" s="74"/>
      <x:c r="T28" s="74"/>
      <x:c r="U28" s="74"/>
      <x:c r="V28" s="74"/>
    </x:row>
    <x:row r="29" ht="48" customHeight="1">
      <x:c r="A29" s="79" t="str">
        <x:v>S25</x:v>
      </x:c>
      <x:c r="B29" s="79" t="str">
        <x:v>Checkpoint–P50 vector verifier</x:v>
      </x:c>
      <x:c r="C29" s="79" t="str">
        <x:v>data/reproduction/05_methods_and_contracts/candidate_vector_verifier.json</x:v>
      </x:c>
      <x:c r="D29" s="79" t="str">
        <x:v>YAML vs Stage4/5 checkpoints vs Stage7 prompt-rendered vectors</x:v>
      </x:c>
      <x:c r="E29" s="79" t="str">
        <x:v>shape/order/allclose/status</x:v>
      </x:c>
      <x:c r="F29" s="79" t="str">
        <x:v>new provenance verifier</x:v>
      </x:c>
      <x:c r="G29" s="79" t="str">
        <x:v>full reproduction verifier</x:v>
      </x:c>
      <x:c r="H29" s="79" t="str">
        <x:v>IMPLEMENTATION_REQUIRED</x:v>
      </x:c>
      <x:c r="I29" s="79" t="str"/>
      <x:c r="J29" s="74" t="str">
        <x:v>GENERATE</x:v>
      </x:c>
      <x:c r="K29" s="74" t="str">
        <x:v>data/reproduction/claim_evidence/source_extracts/S25_candidate_vector_verifier.json</x:v>
      </x:c>
      <x:c r="L29" s="74" t="str">
        <x:v>data/reproduction/claim_evidence/source_sidecars/S25.json</x:v>
      </x:c>
      <x:c r="M29" s="74" t="str">
        <x:v>FULL</x:v>
      </x:c>
      <x:c r="N29" s="74"/>
      <x:c r="O29" s="74"/>
      <x:c r="P29" s="74"/>
      <x:c r="Q29" s="74"/>
      <x:c r="R29" s="74"/>
      <x:c r="S29" s="74"/>
      <x:c r="T29" s="74"/>
      <x:c r="U29" s="74"/>
      <x:c r="V29" s="74"/>
    </x:row>
    <x:row r="30" ht="48" customHeight="1">
      <x:c r="A30" s="79" t="str">
        <x:v>S26</x:v>
      </x:c>
      <x:c r="B30" s="79" t="str">
        <x:v>E4·Haiku QC</x:v>
      </x:c>
      <x:c r="C30" s="79" t="str">
        <x:v>data/analysis/paper_repro/05_extension_e3_e4/e4_haiku_characterization/</x:v>
      </x:c>
      <x:c r="D30" s="79" t="str">
        <x:v>axis compare + budget contract ladder</x:v>
      </x:c>
      <x:c r="E30" s="79" t="str">
        <x:v>QC status, complete-case N, compliance metrics</x:v>
      </x:c>
      <x:c r="F30" s="79" t="str">
        <x:v>E4 characterization</x:v>
      </x:c>
      <x:c r="G30" s="79" t="str">
        <x:v>analysis extensions verifier</x:v>
      </x:c>
      <x:c r="H30" s="79" t="str">
        <x:v>FROZEN_GROUP</x:v>
      </x:c>
      <x:c r="I30" s="79" t="str"/>
      <x:c r="J30" s="74" t="str">
        <x:v>GENERATE_MANIFEST</x:v>
      </x:c>
      <x:c r="K30" s="74" t="str">
        <x:v>data/reproduction/claim_evidence/source_extracts/S26_e4_qc_manifest.json</x:v>
      </x:c>
      <x:c r="L30" s="74" t="str">
        <x:v>data/reproduction/claim_evidence/source_sidecars/S26.json</x:v>
      </x:c>
      <x:c r="M30" s="74" t="str">
        <x:v>FROZEN_LLM_REANALYSIS</x:v>
      </x:c>
      <x:c r="N30" s="74"/>
      <x:c r="O30" s="74"/>
      <x:c r="P30" s="74"/>
      <x:c r="Q30" s="74"/>
      <x:c r="R30" s="74"/>
      <x:c r="S30" s="74"/>
      <x:c r="T30" s="74"/>
      <x:c r="U30" s="74"/>
      <x:c r="V30" s="74"/>
    </x:row>
    <x:row r="31" ht="48" customHeight="1">
      <x:c r="A31" s="79" t="str">
        <x:v>S27</x:v>
      </x:c>
      <x:c r="B31" s="79" t="str">
        <x:v>예산계약 동일성</x:v>
      </x:c>
      <x:c r="C31" s="79" t="str">
        <x:v>data/analysis/paper_repro/05_prewrite_audit/budget_contract_diff.csv</x:v>
      </x:c>
      <x:c r="D31" s="79" t="str">
        <x:v>finite vs no-explicit-budget fields</x:v>
      </x:c>
      <x:c r="E31" s="79" t="str">
        <x:v>field, same_flag, interpretation impact</x:v>
      </x:c>
      <x:c r="F31" s="79" t="str">
        <x:v>prewrite audit migration</x:v>
      </x:c>
      <x:c r="G31" s="79" t="str">
        <x:v>claim-evidence verifier</x:v>
      </x:c>
      <x:c r="H31" s="79" t="str">
        <x:v>TO_MIGRATE</x:v>
      </x:c>
      <x:c r="I31" s="79" t="str"/>
      <x:c r="J31" s="74" t="str">
        <x:v>COPY_SMALL</x:v>
      </x:c>
      <x:c r="K31" s="74" t="str">
        <x:v>data/reproduction/claim_evidence/source_extracts/S27_budget_contract_diff.csv</x:v>
      </x:c>
      <x:c r="L31" s="74" t="str">
        <x:v>data/reproduction/claim_evidence/source_sidecars/S27.json</x:v>
      </x:c>
      <x:c r="M31" s="74" t="str">
        <x:v>PROVENANCE_ONLY</x:v>
      </x:c>
      <x:c r="N31" s="74"/>
      <x:c r="O31" s="74"/>
      <x:c r="P31" s="74"/>
      <x:c r="Q31" s="74"/>
      <x:c r="R31" s="74"/>
      <x:c r="S31" s="74"/>
      <x:c r="T31" s="74"/>
      <x:c r="U31" s="74"/>
      <x:c r="V31" s="74"/>
    </x:row>
    <x:row r="32" ht="48" customHeight="1">
      <x:c r="A32" s="79" t="str">
        <x:v>S28</x:v>
      </x:c>
      <x:c r="B32" s="79" t="str">
        <x:v>E3 관계적 참조가치</x:v>
      </x:c>
      <x:c r="C32" s="79" t="str">
        <x:v>data/analysis/paper_repro/05_extension_e3_e4/e3_c4r_journal/relational_reference/</x:v>
      </x:c>
      <x:c r="D32" s="79" t="str">
        <x:v>E3 firm-level local advantage/complement/substitute/adoption</x:v>
      </x:c>
      <x:c r="E32" s="79" t="str">
        <x:v>quartiles, rates, correlations, warnings</x:v>
      </x:c>
      <x:c r="F32" s="79" t="str">
        <x:v>new relational-reference module</x:v>
      </x:c>
      <x:c r="G32" s="79" t="str">
        <x:v>new contract verifier</x:v>
      </x:c>
      <x:c r="H32" s="79" t="str">
        <x:v>RECOMPUTE_REQUIRED</x:v>
      </x:c>
      <x:c r="I32" s="79" t="str">
        <x:v>E1/N5M 수치를 headline source로 재사용하지 않음.</x:v>
      </x:c>
      <x:c r="J32" s="74" t="str">
        <x:v>GENERATE_MANIFEST</x:v>
      </x:c>
      <x:c r="K32" s="74" t="str">
        <x:v>data/reproduction/claim_evidence/source_extracts/S28_relational_reference_manifest.json</x:v>
      </x:c>
      <x:c r="L32" s="74" t="str">
        <x:v>data/reproduction/claim_evidence/source_sidecars/S28.json</x:v>
      </x:c>
      <x:c r="M32" s="74" t="str">
        <x:v>FROZEN_LLM_REANALYSIS</x:v>
      </x:c>
      <x:c r="N32" s="74"/>
      <x:c r="O32" s="74"/>
      <x:c r="P32" s="74"/>
      <x:c r="Q32" s="74"/>
      <x:c r="R32" s="74"/>
      <x:c r="S32" s="74"/>
      <x:c r="T32" s="74"/>
      <x:c r="U32" s="74"/>
      <x:c r="V32" s="74"/>
    </x:row>
    <x:row r="33" ht="48" customHeight="1">
      <x:c r="A33" s="79" t="str">
        <x:v>S29</x:v>
      </x:c>
      <x:c r="B33" s="79" t="str">
        <x:v>H2 형식·검토가능성</x:v>
      </x:c>
      <x:c r="C33" s="79" t="str">
        <x:v>data/analysis/paper_repro/02_llm_hypothesis_tests/h2_format_reviewability/h2_format_reviewability_summary.csv</x:v>
      </x:c>
      <x:c r="D33" s="79" t="str">
        <x:v>backend∈{gpt54mini,gpt41mini,haiku45}; IC-b; C5-C4/C7-C6; H2 and H4-b proxies</x:v>
      </x:c>
      <x:c r="E33" s="79" t="str">
        <x:v>backend, contrast, projection_distance, L1, active_dims, failures, explanation_action_consistency, reviewability_proxy, decision</x:v>
      </x:c>
      <x:c r="F33" s="79" t="str">
        <x:v>new H2 summary module</x:v>
      </x:c>
      <x:c r="G33" s="79" t="str">
        <x:v>new contract verifier</x:v>
      </x:c>
      <x:c r="H33" s="79" t="str">
        <x:v>RECOMPUTE_REQUIRED</x:v>
      </x:c>
      <x:c r="I33" s="79" t="str">
        <x:v>구 표 18의 3백엔드 범위를 유지. 미완료는 canonical claim-ready summary 재산출 문제임.</x:v>
      </x:c>
      <x:c r="J33" s="74" t="str">
        <x:v>GENERATE</x:v>
      </x:c>
      <x:c r="K33" s="74" t="str">
        <x:v>data/reproduction/claim_evidence/source_extracts/S29_h2_format_reviewability.csv</x:v>
      </x:c>
      <x:c r="L33" s="74" t="str">
        <x:v>data/reproduction/claim_evidence/source_sidecars/S29.json</x:v>
      </x:c>
      <x:c r="M33" s="74" t="str">
        <x:v>FROZEN_LLM_REANALYSIS</x:v>
      </x:c>
      <x:c r="N33" s="74"/>
      <x:c r="O33" s="74"/>
      <x:c r="P33" s="74"/>
      <x:c r="Q33" s="74"/>
      <x:c r="R33" s="74"/>
      <x:c r="S33" s="74"/>
      <x:c r="T33" s="74"/>
      <x:c r="U33" s="74"/>
      <x:c r="V33" s="74"/>
    </x:row>
    <x:row r="34" ht="48" customHeight="1">
      <x:c r="A34" s="79" t="str">
        <x:v>S30</x:v>
      </x:c>
      <x:c r="B34" s="79" t="str">
        <x:v>E3 동적 평가해상도</x:v>
      </x:c>
      <x:c r="C34" s="79" t="str">
        <x:v>data/analysis/paper_repro/05_extension_e3_e4/e3_c4r_journal/dynamic_resolution/</x:v>
      </x:c>
      <x:c r="D34" s="79" t="str">
        <x:v>backend/oracle/component/budget</x:v>
      </x:c>
      <x:c r="E34" s="79" t="str">
        <x:v>zero/tie/positive/negative, boundary concentration, dispersion</x:v>
      </x:c>
      <x:c r="F34" s="79" t="str">
        <x:v>new dynamic-resolution module</x:v>
      </x:c>
      <x:c r="G34" s="79" t="str">
        <x:v>new contract verifier</x:v>
      </x:c>
      <x:c r="H34" s="79" t="str">
        <x:v>RECOMPUTE_REQUIRED</x:v>
      </x:c>
      <x:c r="I34" s="79" t="str">
        <x:v>N5M의 70.6–76.5%를 E3 수치처럼 사용하지 않음.</x:v>
      </x:c>
      <x:c r="J34" s="74" t="str">
        <x:v>GENERATE_MANIFEST</x:v>
      </x:c>
      <x:c r="K34" s="74" t="str">
        <x:v>data/reproduction/claim_evidence/source_extracts/S30_dynamic_resolution_manifest.json</x:v>
      </x:c>
      <x:c r="L34" s="74" t="str">
        <x:v>data/reproduction/claim_evidence/source_sidecars/S30.json</x:v>
      </x:c>
      <x:c r="M34" s="74" t="str">
        <x:v>FROZEN_LLM_REANALYSIS</x:v>
      </x:c>
      <x:c r="N34" s="74"/>
      <x:c r="O34" s="74"/>
      <x:c r="P34" s="74"/>
      <x:c r="Q34" s="74"/>
      <x:c r="R34" s="74"/>
      <x:c r="S34" s="74"/>
      <x:c r="T34" s="74"/>
      <x:c r="U34" s="74"/>
      <x:c r="V34" s="74"/>
    </x:row>
    <x:row r="35" ht="48" customHeight="1">
      <x:c r="A35" s="79" t="str">
        <x:v>S31</x:v>
      </x:c>
      <x:c r="B35" s="79" t="str">
        <x:v>E1/N5M 역사 원장</x:v>
      </x:c>
      <x:c r="C35" s="79" t="str">
        <x:v>data/analysis/paper_repro/03_output_contract_diagnostics/n5m_posthoc/</x:v>
      </x:c>
      <x:c r="D35" s="79" t="str">
        <x:v>E1 first-observation cohort only</x:v>
      </x:c>
      <x:c r="E35" s="79" t="str">
        <x:v>DID, budget diagnostics, historical heterogeneity</x:v>
      </x:c>
      <x:c r="F35" s="79" t="str">
        <x:v>N5M post-hoc analysis</x:v>
      </x:c>
      <x:c r="G35" s="79" t="str">
        <x:v>legacy/historical verifier</x:v>
      </x:c>
      <x:c r="H35" s="79" t="str">
        <x:v>SUPERSEDED_HISTORICAL</x:v>
      </x:c>
      <x:c r="I35" s="79" t="str">
        <x:v>부록·실행계보 전용. Headline numeric source 금지.</x:v>
      </x:c>
      <x:c r="J35" s="74" t="str">
        <x:v>GENERATE_MANIFEST</x:v>
      </x:c>
      <x:c r="K35" s="74" t="str">
        <x:v>data/reproduction/claim_evidence/source_extracts/S31_e1_n5m_historical_manifest.json</x:v>
      </x:c>
      <x:c r="L35" s="74" t="str">
        <x:v>data/reproduction/claim_evidence/source_sidecars/S31.json</x:v>
      </x:c>
      <x:c r="M35" s="74" t="str">
        <x:v>HISTORICAL</x:v>
      </x:c>
      <x:c r="N35" s="74"/>
      <x:c r="O35" s="74"/>
      <x:c r="P35" s="74"/>
      <x:c r="Q35" s="74"/>
      <x:c r="R35" s="74"/>
      <x:c r="S35" s="74"/>
      <x:c r="T35" s="74"/>
      <x:c r="U35" s="74"/>
      <x:c r="V35" s="74"/>
    </x:row>
    <x:row r="36" ht="48" customHeight="1">
      <x:c r="A36" s="79" t="str">
        <x:v>S32</x:v>
      </x:c>
      <x:c r="B36" s="79" t="str">
        <x:v>최종 재현 manifest</x:v>
      </x:c>
      <x:c r="C36" s="79" t="str">
        <x:v>data/reproduction/final_reproduction_manifest.json</x:v>
      </x:c>
      <x:c r="D36" s="79" t="str">
        <x:v>all components</x:v>
      </x:c>
      <x:c r="E36" s="79" t="str">
        <x:v>status, components, commit, source files</x:v>
      </x:c>
      <x:c r="F36" s="79" t="str">
        <x:v>master verifier</x:v>
      </x:c>
      <x:c r="G36" s="79" t="str">
        <x:v>full reproduction verifier</x:v>
      </x:c>
      <x:c r="H36" s="79" t="str">
        <x:v>GENERATED_AT_RUN</x:v>
      </x:c>
      <x:c r="I36" s="79" t="str"/>
      <x:c r="J36" s="74" t="str">
        <x:v>REFERENCE</x:v>
      </x:c>
      <x:c r="K36" s="74" t="str">
        <x:v>data/reproduction/final_reproduction_manifest.json</x:v>
      </x:c>
      <x:c r="L36" s="74" t="str">
        <x:v>data/reproduction/manifests/final_reproduction_sidecar.json</x:v>
      </x:c>
      <x:c r="M36" s="74" t="str">
        <x:v>GENERATED_AT_RUN</x:v>
      </x:c>
      <x:c r="N36" s="74"/>
      <x:c r="O36" s="74"/>
      <x:c r="P36" s="74"/>
      <x:c r="Q36" s="74"/>
      <x:c r="R36" s="74"/>
      <x:c r="S36" s="74"/>
      <x:c r="T36" s="74"/>
      <x:c r="U36" s="74"/>
      <x:c r="V36" s="74"/>
    </x:row>
    <x:row r="37">
      <x:c r="A37" s="74"/>
      <x:c r="B37" s="74"/>
      <x:c r="C37" s="74"/>
      <x:c r="D37" s="74"/>
      <x:c r="E37" s="74"/>
      <x:c r="F37" s="74"/>
      <x:c r="G37" s="74"/>
      <x:c r="H37" s="74"/>
      <x:c r="I37" s="74"/>
      <x:c r="J37" s="74"/>
      <x:c r="K37" s="74"/>
      <x:c r="L37" s="74"/>
      <x:c r="M37" s="74"/>
      <x:c r="N37" s="74"/>
      <x:c r="O37" s="74"/>
      <x:c r="P37" s="74"/>
      <x:c r="Q37" s="74"/>
      <x:c r="R37" s="74"/>
      <x:c r="S37" s="74"/>
      <x:c r="T37" s="74"/>
      <x:c r="U37" s="74"/>
      <x:c r="V37" s="74"/>
    </x:row>
    <x:row r="38">
      <x:c r="A38" s="74"/>
      <x:c r="B38" s="74"/>
      <x:c r="C38" s="74"/>
      <x:c r="D38" s="74"/>
      <x:c r="E38" s="74"/>
      <x:c r="F38" s="74"/>
      <x:c r="G38" s="74"/>
      <x:c r="H38" s="74"/>
      <x:c r="I38" s="74"/>
      <x:c r="J38" s="74"/>
      <x:c r="K38" s="74"/>
      <x:c r="L38" s="74"/>
      <x:c r="M38" s="74"/>
      <x:c r="N38" s="74"/>
      <x:c r="O38" s="74"/>
      <x:c r="P38" s="74"/>
      <x:c r="Q38" s="74"/>
      <x:c r="R38" s="74"/>
      <x:c r="S38" s="74"/>
      <x:c r="T38" s="74"/>
      <x:c r="U38" s="74"/>
      <x:c r="V38" s="74"/>
    </x:row>
    <x:row r="39">
      <x:c r="A39" s="74"/>
      <x:c r="B39" s="74"/>
      <x:c r="C39" s="74"/>
      <x:c r="D39" s="74"/>
      <x:c r="E39" s="74"/>
      <x:c r="F39" s="74"/>
      <x:c r="G39" s="74"/>
      <x:c r="H39" s="74"/>
      <x:c r="I39" s="74"/>
      <x:c r="J39" s="74"/>
      <x:c r="K39" s="74"/>
      <x:c r="L39" s="74"/>
      <x:c r="M39" s="74"/>
      <x:c r="N39" s="74"/>
      <x:c r="O39" s="74"/>
      <x:c r="P39" s="74"/>
      <x:c r="Q39" s="74"/>
      <x:c r="R39" s="74"/>
      <x:c r="S39" s="74"/>
      <x:c r="T39" s="74"/>
      <x:c r="U39" s="74"/>
      <x:c r="V39" s="74"/>
    </x:row>
    <x:row r="40">
      <x:c r="A40" s="74"/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4"/>
      <x:c r="T40" s="74"/>
      <x:c r="U40" s="74"/>
      <x:c r="V40" s="74"/>
    </x:row>
    <x:row r="41">
      <x:c r="A41" s="74"/>
      <x:c r="B41" s="74"/>
      <x:c r="C41" s="74"/>
      <x:c r="D41" s="74"/>
      <x:c r="E41" s="74"/>
      <x:c r="F41" s="74"/>
      <x:c r="G41" s="74"/>
      <x:c r="H41" s="74"/>
      <x:c r="I41" s="74"/>
      <x:c r="J41" s="74"/>
      <x:c r="K41" s="74"/>
      <x:c r="L41" s="74"/>
      <x:c r="M41" s="74"/>
      <x:c r="N41" s="74"/>
      <x:c r="O41" s="74"/>
      <x:c r="P41" s="74"/>
      <x:c r="Q41" s="74"/>
      <x:c r="R41" s="74"/>
      <x:c r="S41" s="74"/>
      <x:c r="T41" s="74"/>
      <x:c r="U41" s="74"/>
      <x:c r="V41" s="74"/>
    </x:row>
    <x:row r="42">
      <x:c r="A42" s="74"/>
      <x:c r="B42" s="74"/>
      <x:c r="C42" s="74"/>
      <x:c r="D42" s="74"/>
      <x:c r="E42" s="74"/>
      <x:c r="F42" s="74"/>
      <x:c r="G42" s="74"/>
      <x:c r="H42" s="74"/>
      <x:c r="I42" s="74"/>
      <x:c r="J42" s="74"/>
      <x:c r="K42" s="74"/>
      <x:c r="L42" s="74"/>
      <x:c r="M42" s="74"/>
      <x:c r="N42" s="74"/>
      <x:c r="O42" s="74"/>
      <x:c r="P42" s="74"/>
      <x:c r="Q42" s="74"/>
      <x:c r="R42" s="74"/>
      <x:c r="S42" s="74"/>
      <x:c r="T42" s="74"/>
      <x:c r="U42" s="74"/>
      <x:c r="V42" s="74"/>
    </x:row>
    <x:row r="43">
      <x:c r="A43" s="74"/>
      <x:c r="B43" s="74"/>
      <x:c r="C43" s="74"/>
      <x:c r="D43" s="74"/>
      <x:c r="E43" s="74"/>
      <x:c r="F43" s="74"/>
      <x:c r="G43" s="74"/>
      <x:c r="H43" s="74"/>
      <x:c r="I43" s="74"/>
      <x:c r="J43" s="74"/>
      <x:c r="K43" s="74"/>
      <x:c r="L43" s="74"/>
      <x:c r="M43" s="74"/>
      <x:c r="N43" s="74"/>
      <x:c r="O43" s="74"/>
      <x:c r="P43" s="74"/>
      <x:c r="Q43" s="74"/>
      <x:c r="R43" s="74"/>
      <x:c r="S43" s="74"/>
      <x:c r="T43" s="74"/>
      <x:c r="U43" s="74"/>
      <x:c r="V43" s="74"/>
    </x:row>
    <x:row r="44">
      <x:c r="A44" s="74"/>
      <x:c r="B44" s="74"/>
      <x:c r="C44" s="74"/>
      <x:c r="D44" s="74"/>
      <x:c r="E44" s="74"/>
      <x:c r="F44" s="74"/>
      <x:c r="G44" s="74"/>
      <x:c r="H44" s="74"/>
      <x:c r="I44" s="74"/>
      <x:c r="J44" s="74"/>
      <x:c r="K44" s="74"/>
      <x:c r="L44" s="74"/>
      <x:c r="M44" s="74"/>
      <x:c r="N44" s="74"/>
      <x:c r="O44" s="74"/>
      <x:c r="P44" s="74"/>
      <x:c r="Q44" s="74"/>
      <x:c r="R44" s="74"/>
      <x:c r="S44" s="74"/>
      <x:c r="T44" s="74"/>
      <x:c r="U44" s="74"/>
      <x:c r="V44" s="74"/>
    </x:row>
    <x:row r="45">
      <x:c r="A45" s="74"/>
      <x:c r="B45" s="74"/>
      <x:c r="C45" s="74"/>
      <x:c r="D45" s="74"/>
      <x:c r="E45" s="74"/>
      <x:c r="F45" s="74"/>
      <x:c r="G45" s="74"/>
      <x:c r="H45" s="74"/>
      <x:c r="I45" s="74"/>
      <x:c r="J45" s="74"/>
      <x:c r="K45" s="74"/>
      <x:c r="L45" s="74"/>
      <x:c r="M45" s="74"/>
      <x:c r="N45" s="74"/>
      <x:c r="O45" s="74"/>
      <x:c r="P45" s="74"/>
      <x:c r="Q45" s="74"/>
      <x:c r="R45" s="74"/>
      <x:c r="S45" s="74"/>
      <x:c r="T45" s="74"/>
      <x:c r="U45" s="74"/>
      <x:c r="V45" s="74"/>
    </x:row>
    <x:row r="46">
      <x:c r="A46" s="74"/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4"/>
      <x:c r="M46" s="74"/>
      <x:c r="N46" s="74"/>
      <x:c r="O46" s="74"/>
      <x:c r="P46" s="74"/>
      <x:c r="Q46" s="74"/>
      <x:c r="R46" s="74"/>
      <x:c r="S46" s="74"/>
      <x:c r="T46" s="74"/>
      <x:c r="U46" s="74"/>
      <x:c r="V46" s="74"/>
    </x:row>
    <x:row r="47">
      <x:c r="A47" s="74"/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4"/>
      <x:c r="M47" s="74"/>
      <x:c r="N47" s="74"/>
      <x:c r="O47" s="74"/>
      <x:c r="P47" s="74"/>
      <x:c r="Q47" s="74"/>
      <x:c r="R47" s="74"/>
      <x:c r="S47" s="74"/>
      <x:c r="T47" s="74"/>
      <x:c r="U47" s="74"/>
      <x:c r="V47" s="74"/>
    </x:row>
    <x:row r="48">
      <x:c r="A48" s="74"/>
      <x:c r="B48" s="74"/>
      <x:c r="C48" s="74"/>
      <x:c r="D48" s="74"/>
      <x:c r="E48" s="74"/>
      <x:c r="F48" s="74"/>
      <x:c r="G48" s="74"/>
      <x:c r="H48" s="74"/>
      <x:c r="I48" s="74"/>
      <x:c r="J48" s="74"/>
      <x:c r="K48" s="74"/>
      <x:c r="L48" s="74"/>
      <x:c r="M48" s="74"/>
      <x:c r="N48" s="74"/>
      <x:c r="O48" s="74"/>
      <x:c r="P48" s="74"/>
      <x:c r="Q48" s="74"/>
      <x:c r="R48" s="74"/>
      <x:c r="S48" s="74"/>
      <x:c r="T48" s="74"/>
      <x:c r="U48" s="74"/>
      <x:c r="V48" s="74"/>
    </x:row>
    <x:row r="49">
      <x:c r="A49" s="74"/>
      <x:c r="B49" s="74"/>
      <x:c r="C49" s="74"/>
      <x:c r="D49" s="74"/>
      <x:c r="E49" s="74"/>
      <x:c r="F49" s="74"/>
      <x:c r="G49" s="74"/>
      <x:c r="H49" s="74"/>
      <x:c r="I49" s="74"/>
      <x:c r="J49" s="74"/>
      <x:c r="K49" s="74"/>
      <x:c r="L49" s="74"/>
      <x:c r="M49" s="74"/>
      <x:c r="N49" s="74"/>
      <x:c r="O49" s="74"/>
      <x:c r="P49" s="74"/>
      <x:c r="Q49" s="74"/>
      <x:c r="R49" s="74"/>
      <x:c r="S49" s="74"/>
      <x:c r="T49" s="74"/>
      <x:c r="U49" s="74"/>
      <x:c r="V49" s="74"/>
    </x:row>
    <x:row r="50">
      <x:c r="A50" s="74"/>
      <x:c r="B50" s="74"/>
      <x:c r="C50" s="74"/>
      <x:c r="D50" s="74"/>
      <x:c r="E50" s="74"/>
      <x:c r="F50" s="74"/>
      <x:c r="G50" s="74"/>
      <x:c r="H50" s="74"/>
      <x:c r="I50" s="74"/>
      <x:c r="J50" s="74"/>
      <x:c r="K50" s="74"/>
      <x:c r="L50" s="74"/>
      <x:c r="M50" s="74"/>
      <x:c r="N50" s="74"/>
      <x:c r="O50" s="74"/>
      <x:c r="P50" s="74"/>
      <x:c r="Q50" s="74"/>
      <x:c r="R50" s="74"/>
      <x:c r="S50" s="74"/>
      <x:c r="T50" s="74"/>
      <x:c r="U50" s="74"/>
      <x:c r="V50" s="74"/>
    </x:row>
    <x:row r="51">
      <x:c r="A51" s="74"/>
      <x:c r="B51" s="74"/>
      <x:c r="C51" s="74"/>
      <x:c r="D51" s="74"/>
      <x:c r="E51" s="74"/>
      <x:c r="F51" s="74"/>
      <x:c r="G51" s="74"/>
      <x:c r="H51" s="74"/>
      <x:c r="I51" s="74"/>
      <x:c r="J51" s="74"/>
      <x:c r="K51" s="74"/>
      <x:c r="L51" s="74"/>
      <x:c r="M51" s="74"/>
      <x:c r="N51" s="74"/>
      <x:c r="O51" s="74"/>
      <x:c r="P51" s="74"/>
      <x:c r="Q51" s="74"/>
      <x:c r="R51" s="74"/>
      <x:c r="S51" s="74"/>
      <x:c r="T51" s="74"/>
      <x:c r="U51" s="74"/>
      <x:c r="V51" s="74"/>
    </x:row>
    <x:row r="52">
      <x:c r="A52" s="74"/>
      <x:c r="B52" s="74"/>
      <x:c r="C52" s="74"/>
      <x:c r="D52" s="74"/>
      <x:c r="E52" s="74"/>
      <x:c r="F52" s="74"/>
      <x:c r="G52" s="74"/>
      <x:c r="H52" s="74"/>
      <x:c r="I52" s="74"/>
      <x:c r="J52" s="74"/>
      <x:c r="K52" s="74"/>
      <x:c r="L52" s="74"/>
      <x:c r="M52" s="74"/>
      <x:c r="N52" s="74"/>
      <x:c r="O52" s="74"/>
      <x:c r="P52" s="74"/>
      <x:c r="Q52" s="74"/>
      <x:c r="R52" s="74"/>
      <x:c r="S52" s="74"/>
      <x:c r="T52" s="74"/>
      <x:c r="U52" s="74"/>
      <x:c r="V52" s="74"/>
    </x:row>
    <x:row r="53">
      <x:c r="A53" s="74"/>
      <x:c r="B53" s="74"/>
      <x:c r="C53" s="74"/>
      <x:c r="D53" s="74"/>
      <x:c r="E53" s="74"/>
      <x:c r="F53" s="74"/>
      <x:c r="G53" s="74"/>
      <x:c r="H53" s="74"/>
      <x:c r="I53" s="74"/>
      <x:c r="J53" s="74"/>
      <x:c r="K53" s="74"/>
      <x:c r="L53" s="74"/>
      <x:c r="M53" s="74"/>
      <x:c r="N53" s="74"/>
      <x:c r="O53" s="74"/>
      <x:c r="P53" s="74"/>
      <x:c r="Q53" s="74"/>
      <x:c r="R53" s="74"/>
      <x:c r="S53" s="74"/>
      <x:c r="T53" s="74"/>
      <x:c r="U53" s="74"/>
      <x:c r="V53" s="74"/>
    </x:row>
    <x:row r="54">
      <x:c r="A54" s="74"/>
      <x:c r="B54" s="74"/>
      <x:c r="C54" s="74"/>
      <x:c r="D54" s="74"/>
      <x:c r="E54" s="74"/>
      <x:c r="F54" s="74"/>
      <x:c r="G54" s="74"/>
      <x:c r="H54" s="74"/>
      <x:c r="I54" s="74"/>
      <x:c r="J54" s="74"/>
      <x:c r="K54" s="74"/>
      <x:c r="L54" s="74"/>
      <x:c r="M54" s="74"/>
      <x:c r="N54" s="74"/>
      <x:c r="O54" s="74"/>
      <x:c r="P54" s="74"/>
      <x:c r="Q54" s="74"/>
      <x:c r="R54" s="74"/>
      <x:c r="S54" s="74"/>
      <x:c r="T54" s="74"/>
      <x:c r="U54" s="74"/>
      <x:c r="V54" s="74"/>
    </x:row>
    <x:row r="55">
      <x:c r="A55" s="74"/>
      <x:c r="B55" s="74"/>
      <x:c r="C55" s="74"/>
      <x:c r="D55" s="74"/>
      <x:c r="E55" s="74"/>
      <x:c r="F55" s="74"/>
      <x:c r="G55" s="74"/>
      <x:c r="H55" s="74"/>
      <x:c r="I55" s="74"/>
      <x:c r="J55" s="74"/>
      <x:c r="K55" s="74"/>
      <x:c r="L55" s="74"/>
      <x:c r="M55" s="74"/>
      <x:c r="N55" s="74"/>
      <x:c r="O55" s="74"/>
      <x:c r="P55" s="74"/>
      <x:c r="Q55" s="74"/>
      <x:c r="R55" s="74"/>
      <x:c r="S55" s="74"/>
      <x:c r="T55" s="74"/>
      <x:c r="U55" s="74"/>
      <x:c r="V55" s="74"/>
    </x:row>
    <x:row r="56">
      <x:c r="A56" s="74"/>
      <x:c r="B56" s="74"/>
      <x:c r="C56" s="74"/>
      <x:c r="D56" s="74"/>
      <x:c r="E56" s="74"/>
      <x:c r="F56" s="74"/>
      <x:c r="G56" s="74"/>
      <x:c r="H56" s="74"/>
      <x:c r="I56" s="74"/>
      <x:c r="J56" s="74"/>
      <x:c r="K56" s="74"/>
      <x:c r="L56" s="74"/>
      <x:c r="M56" s="74"/>
      <x:c r="N56" s="74"/>
      <x:c r="O56" s="74"/>
      <x:c r="P56" s="74"/>
      <x:c r="Q56" s="74"/>
      <x:c r="R56" s="74"/>
      <x:c r="S56" s="74"/>
      <x:c r="T56" s="74"/>
      <x:c r="U56" s="74"/>
      <x:c r="V56" s="74"/>
    </x:row>
    <x:row r="57">
      <x:c r="A57" s="74"/>
      <x:c r="B57" s="74"/>
      <x:c r="C57" s="74"/>
      <x:c r="D57" s="74"/>
      <x:c r="E57" s="74"/>
      <x:c r="F57" s="74"/>
      <x:c r="G57" s="74"/>
      <x:c r="H57" s="74"/>
      <x:c r="I57" s="74"/>
      <x:c r="J57" s="74"/>
      <x:c r="K57" s="74"/>
      <x:c r="L57" s="74"/>
      <x:c r="M57" s="74"/>
      <x:c r="N57" s="74"/>
      <x:c r="O57" s="74"/>
      <x:c r="P57" s="74"/>
      <x:c r="Q57" s="74"/>
      <x:c r="R57" s="74"/>
      <x:c r="S57" s="74"/>
      <x:c r="T57" s="74"/>
      <x:c r="U57" s="74"/>
      <x:c r="V57" s="74"/>
    </x:row>
    <x:row r="58">
      <x:c r="A58" s="74"/>
      <x:c r="B58" s="74"/>
      <x:c r="C58" s="74"/>
      <x:c r="D58" s="74"/>
      <x:c r="E58" s="74"/>
      <x:c r="F58" s="74"/>
      <x:c r="G58" s="74"/>
      <x:c r="H58" s="74"/>
      <x:c r="I58" s="74"/>
      <x:c r="J58" s="74"/>
      <x:c r="K58" s="74"/>
      <x:c r="L58" s="74"/>
      <x:c r="M58" s="74"/>
      <x:c r="N58" s="74"/>
      <x:c r="O58" s="74"/>
      <x:c r="P58" s="74"/>
      <x:c r="Q58" s="74"/>
      <x:c r="R58" s="74"/>
      <x:c r="S58" s="74"/>
      <x:c r="T58" s="74"/>
      <x:c r="U58" s="74"/>
      <x:c r="V58" s="74"/>
    </x:row>
    <x:row r="59">
      <x:c r="A59" s="74"/>
      <x:c r="B59" s="74"/>
      <x:c r="C59" s="74"/>
      <x:c r="D59" s="74"/>
      <x:c r="E59" s="74"/>
      <x:c r="F59" s="74"/>
      <x:c r="G59" s="74"/>
      <x:c r="H59" s="74"/>
      <x:c r="I59" s="74"/>
      <x:c r="J59" s="74"/>
      <x:c r="K59" s="74"/>
      <x:c r="L59" s="74"/>
      <x:c r="M59" s="74"/>
      <x:c r="N59" s="74"/>
      <x:c r="O59" s="74"/>
      <x:c r="P59" s="74"/>
      <x:c r="Q59" s="74"/>
      <x:c r="R59" s="74"/>
      <x:c r="S59" s="74"/>
      <x:c r="T59" s="74"/>
      <x:c r="U59" s="74"/>
      <x:c r="V59" s="74"/>
    </x:row>
    <x:row r="60">
      <x:c r="A60" s="74"/>
      <x:c r="B60" s="74"/>
      <x:c r="C60" s="74"/>
      <x:c r="D60" s="74"/>
      <x:c r="E60" s="74"/>
      <x:c r="F60" s="74"/>
      <x:c r="G60" s="74"/>
      <x:c r="H60" s="74"/>
      <x:c r="I60" s="74"/>
      <x:c r="J60" s="74"/>
      <x:c r="K60" s="74"/>
      <x:c r="L60" s="74"/>
      <x:c r="M60" s="74"/>
      <x:c r="N60" s="74"/>
      <x:c r="O60" s="74"/>
      <x:c r="P60" s="74"/>
      <x:c r="Q60" s="74"/>
      <x:c r="R60" s="74"/>
      <x:c r="S60" s="74"/>
      <x:c r="T60" s="74"/>
      <x:c r="U60" s="74"/>
      <x:c r="V60" s="74"/>
    </x:row>
    <x:row r="61">
      <x:c r="A61" s="74"/>
      <x:c r="B61" s="74"/>
      <x:c r="C61" s="74"/>
      <x:c r="D61" s="74"/>
      <x:c r="E61" s="74"/>
      <x:c r="F61" s="74"/>
      <x:c r="G61" s="74"/>
      <x:c r="H61" s="74"/>
      <x:c r="I61" s="74"/>
      <x:c r="J61" s="74"/>
      <x:c r="K61" s="74"/>
      <x:c r="L61" s="74"/>
      <x:c r="M61" s="74"/>
      <x:c r="N61" s="74"/>
      <x:c r="O61" s="74"/>
      <x:c r="P61" s="74"/>
      <x:c r="Q61" s="74"/>
      <x:c r="R61" s="74"/>
      <x:c r="S61" s="74"/>
      <x:c r="T61" s="74"/>
      <x:c r="U61" s="74"/>
      <x:c r="V61" s="74"/>
    </x:row>
    <x:row r="62">
      <x:c r="A62" s="74"/>
      <x:c r="B62" s="74"/>
      <x:c r="C62" s="74"/>
      <x:c r="D62" s="74"/>
      <x:c r="E62" s="74"/>
      <x:c r="F62" s="74"/>
      <x:c r="G62" s="74"/>
      <x:c r="H62" s="74"/>
      <x:c r="I62" s="74"/>
      <x:c r="J62" s="74"/>
      <x:c r="K62" s="74"/>
      <x:c r="L62" s="74"/>
      <x:c r="M62" s="74"/>
      <x:c r="N62" s="74"/>
      <x:c r="O62" s="74"/>
      <x:c r="P62" s="74"/>
      <x:c r="Q62" s="74"/>
      <x:c r="R62" s="74"/>
      <x:c r="S62" s="74"/>
      <x:c r="T62" s="74"/>
      <x:c r="U62" s="74"/>
      <x:c r="V62" s="74"/>
    </x:row>
    <x:row r="63">
      <x:c r="A63" s="74"/>
      <x:c r="B63" s="74"/>
      <x:c r="C63" s="74"/>
      <x:c r="D63" s="74"/>
      <x:c r="E63" s="74"/>
      <x:c r="F63" s="74"/>
      <x:c r="G63" s="74"/>
      <x:c r="H63" s="74"/>
      <x:c r="I63" s="74"/>
      <x:c r="J63" s="74"/>
      <x:c r="K63" s="74"/>
      <x:c r="L63" s="74"/>
      <x:c r="M63" s="74"/>
      <x:c r="N63" s="74"/>
      <x:c r="O63" s="74"/>
      <x:c r="P63" s="74"/>
      <x:c r="Q63" s="74"/>
      <x:c r="R63" s="74"/>
      <x:c r="S63" s="74"/>
      <x:c r="T63" s="74"/>
      <x:c r="U63" s="74"/>
      <x:c r="V63" s="74"/>
    </x:row>
    <x:row r="64">
      <x:c r="A64" s="74"/>
      <x:c r="B64" s="74"/>
      <x:c r="C64" s="74"/>
      <x:c r="D64" s="74"/>
      <x:c r="E64" s="74"/>
      <x:c r="F64" s="74"/>
      <x:c r="G64" s="74"/>
      <x:c r="H64" s="74"/>
      <x:c r="I64" s="74"/>
      <x:c r="J64" s="74"/>
      <x:c r="K64" s="74"/>
      <x:c r="L64" s="74"/>
      <x:c r="M64" s="74"/>
      <x:c r="N64" s="74"/>
      <x:c r="O64" s="74"/>
      <x:c r="P64" s="74"/>
      <x:c r="Q64" s="74"/>
      <x:c r="R64" s="74"/>
      <x:c r="S64" s="74"/>
      <x:c r="T64" s="74"/>
      <x:c r="U64" s="74"/>
      <x:c r="V64" s="74"/>
    </x:row>
    <x:row r="65">
      <x:c r="A65" s="74"/>
      <x:c r="B65" s="74"/>
      <x:c r="C65" s="74"/>
      <x:c r="D65" s="74"/>
      <x:c r="E65" s="74"/>
      <x:c r="F65" s="74"/>
      <x:c r="G65" s="74"/>
      <x:c r="H65" s="74"/>
      <x:c r="I65" s="74"/>
      <x:c r="J65" s="74"/>
      <x:c r="K65" s="74"/>
      <x:c r="L65" s="74"/>
      <x:c r="M65" s="74"/>
      <x:c r="N65" s="74"/>
      <x:c r="O65" s="74"/>
      <x:c r="P65" s="74"/>
      <x:c r="Q65" s="74"/>
      <x:c r="R65" s="74"/>
      <x:c r="S65" s="74"/>
      <x:c r="T65" s="74"/>
      <x:c r="U65" s="74"/>
      <x:c r="V65" s="74"/>
    </x:row>
    <x:row r="66">
      <x:c r="A66" s="74"/>
      <x:c r="B66" s="74"/>
      <x:c r="C66" s="74"/>
      <x:c r="D66" s="74"/>
      <x:c r="E66" s="74"/>
      <x:c r="F66" s="74"/>
      <x:c r="G66" s="74"/>
      <x:c r="H66" s="74"/>
      <x:c r="I66" s="74"/>
      <x:c r="J66" s="74"/>
      <x:c r="K66" s="74"/>
      <x:c r="L66" s="74"/>
      <x:c r="M66" s="74"/>
      <x:c r="N66" s="74"/>
      <x:c r="O66" s="74"/>
      <x:c r="P66" s="74"/>
      <x:c r="Q66" s="74"/>
      <x:c r="R66" s="74"/>
      <x:c r="S66" s="74"/>
      <x:c r="T66" s="74"/>
      <x:c r="U66" s="74"/>
      <x:c r="V66" s="74"/>
    </x:row>
    <x:row r="67">
      <x:c r="A67" s="74"/>
      <x:c r="B67" s="74"/>
      <x:c r="C67" s="74"/>
      <x:c r="D67" s="74"/>
      <x:c r="E67" s="74"/>
      <x:c r="F67" s="74"/>
      <x:c r="G67" s="74"/>
      <x:c r="H67" s="74"/>
      <x:c r="I67" s="74"/>
      <x:c r="J67" s="74"/>
      <x:c r="K67" s="74"/>
      <x:c r="L67" s="74"/>
      <x:c r="M67" s="74"/>
      <x:c r="N67" s="74"/>
      <x:c r="O67" s="74"/>
      <x:c r="P67" s="74"/>
      <x:c r="Q67" s="74"/>
      <x:c r="R67" s="74"/>
      <x:c r="S67" s="74"/>
      <x:c r="T67" s="74"/>
      <x:c r="U67" s="74"/>
      <x:c r="V67" s="74"/>
    </x:row>
    <x:row r="68">
      <x:c r="A68" s="74"/>
      <x:c r="B68" s="74"/>
      <x:c r="C68" s="74"/>
      <x:c r="D68" s="74"/>
      <x:c r="E68" s="74"/>
      <x:c r="F68" s="74"/>
      <x:c r="G68" s="74"/>
      <x:c r="H68" s="74"/>
      <x:c r="I68" s="74"/>
      <x:c r="J68" s="74"/>
      <x:c r="K68" s="74"/>
      <x:c r="L68" s="74"/>
      <x:c r="M68" s="74"/>
      <x:c r="N68" s="74"/>
      <x:c r="O68" s="74"/>
      <x:c r="P68" s="74"/>
      <x:c r="Q68" s="74"/>
      <x:c r="R68" s="74"/>
      <x:c r="S68" s="74"/>
      <x:c r="T68" s="74"/>
      <x:c r="U68" s="74"/>
      <x:c r="V68" s="74"/>
    </x:row>
    <x:row r="69">
      <x:c r="A69" s="74"/>
      <x:c r="B69" s="74"/>
      <x:c r="C69" s="74"/>
      <x:c r="D69" s="74"/>
      <x:c r="E69" s="74"/>
      <x:c r="F69" s="74"/>
      <x:c r="G69" s="74"/>
      <x:c r="H69" s="74"/>
      <x:c r="I69" s="74"/>
      <x:c r="J69" s="74"/>
      <x:c r="K69" s="74"/>
      <x:c r="L69" s="74"/>
      <x:c r="M69" s="74"/>
      <x:c r="N69" s="74"/>
      <x:c r="O69" s="74"/>
      <x:c r="P69" s="74"/>
      <x:c r="Q69" s="74"/>
      <x:c r="R69" s="74"/>
      <x:c r="S69" s="74"/>
      <x:c r="T69" s="74"/>
      <x:c r="U69" s="74"/>
      <x:c r="V69" s="74"/>
    </x:row>
    <x:row r="70">
      <x:c r="A70" s="74"/>
      <x:c r="B70" s="74"/>
      <x:c r="C70" s="74"/>
      <x:c r="D70" s="74"/>
      <x:c r="E70" s="74"/>
      <x:c r="F70" s="74"/>
      <x:c r="G70" s="74"/>
      <x:c r="H70" s="74"/>
      <x:c r="I70" s="74"/>
      <x:c r="J70" s="74"/>
      <x:c r="K70" s="74"/>
      <x:c r="L70" s="74"/>
      <x:c r="M70" s="74"/>
      <x:c r="N70" s="74"/>
      <x:c r="O70" s="74"/>
      <x:c r="P70" s="74"/>
      <x:c r="Q70" s="74"/>
      <x:c r="R70" s="74"/>
      <x:c r="S70" s="74"/>
      <x:c r="T70" s="74"/>
      <x:c r="U70" s="74"/>
      <x:c r="V70" s="74"/>
    </x:row>
    <x:row r="71">
      <x:c r="A71" s="74"/>
      <x:c r="B71" s="74"/>
      <x:c r="C71" s="74"/>
      <x:c r="D71" s="74"/>
      <x:c r="E71" s="74"/>
      <x:c r="F71" s="74"/>
      <x:c r="G71" s="74"/>
      <x:c r="H71" s="74"/>
      <x:c r="I71" s="74"/>
      <x:c r="J71" s="74"/>
      <x:c r="K71" s="74"/>
      <x:c r="L71" s="74"/>
      <x:c r="M71" s="74"/>
      <x:c r="N71" s="74"/>
      <x:c r="O71" s="74"/>
      <x:c r="P71" s="74"/>
      <x:c r="Q71" s="74"/>
      <x:c r="R71" s="74"/>
      <x:c r="S71" s="74"/>
      <x:c r="T71" s="74"/>
      <x:c r="U71" s="74"/>
      <x:c r="V71" s="74"/>
    </x:row>
    <x:row r="72">
      <x:c r="A72" s="74"/>
      <x:c r="B72" s="74"/>
      <x:c r="C72" s="74"/>
      <x:c r="D72" s="74"/>
      <x:c r="E72" s="74"/>
      <x:c r="F72" s="74"/>
      <x:c r="G72" s="74"/>
      <x:c r="H72" s="74"/>
      <x:c r="I72" s="74"/>
      <x:c r="J72" s="74"/>
      <x:c r="K72" s="74"/>
      <x:c r="L72" s="74"/>
      <x:c r="M72" s="74"/>
      <x:c r="N72" s="74"/>
      <x:c r="O72" s="74"/>
      <x:c r="P72" s="74"/>
      <x:c r="Q72" s="74"/>
      <x:c r="R72" s="74"/>
      <x:c r="S72" s="74"/>
      <x:c r="T72" s="74"/>
      <x:c r="U72" s="74"/>
      <x:c r="V72" s="74"/>
    </x:row>
    <x:row r="73">
      <x:c r="A73" s="74"/>
      <x:c r="B73" s="74"/>
      <x:c r="C73" s="74"/>
      <x:c r="D73" s="74"/>
      <x:c r="E73" s="74"/>
      <x:c r="F73" s="74"/>
      <x:c r="G73" s="74"/>
      <x:c r="H73" s="74"/>
      <x:c r="I73" s="74"/>
      <x:c r="J73" s="74"/>
      <x:c r="K73" s="74"/>
      <x:c r="L73" s="74"/>
      <x:c r="M73" s="74"/>
      <x:c r="N73" s="74"/>
      <x:c r="O73" s="74"/>
      <x:c r="P73" s="74"/>
      <x:c r="Q73" s="74"/>
      <x:c r="R73" s="74"/>
      <x:c r="S73" s="74"/>
      <x:c r="T73" s="74"/>
      <x:c r="U73" s="74"/>
      <x:c r="V73" s="74"/>
    </x:row>
    <x:row r="74">
      <x:c r="A74" s="74"/>
      <x:c r="B74" s="74"/>
      <x:c r="C74" s="74"/>
      <x:c r="D74" s="74"/>
      <x:c r="E74" s="74"/>
      <x:c r="F74" s="74"/>
      <x:c r="G74" s="74"/>
      <x:c r="H74" s="74"/>
      <x:c r="I74" s="74"/>
      <x:c r="J74" s="74"/>
      <x:c r="K74" s="74"/>
      <x:c r="L74" s="74"/>
      <x:c r="M74" s="74"/>
      <x:c r="N74" s="74"/>
      <x:c r="O74" s="74"/>
      <x:c r="P74" s="74"/>
      <x:c r="Q74" s="74"/>
      <x:c r="R74" s="74"/>
      <x:c r="S74" s="74"/>
      <x:c r="T74" s="74"/>
      <x:c r="U74" s="74"/>
      <x:c r="V74" s="74"/>
    </x:row>
    <x:row r="75">
      <x:c r="A75" s="74"/>
      <x:c r="B75" s="74"/>
      <x:c r="C75" s="74"/>
      <x:c r="D75" s="74"/>
      <x:c r="E75" s="74"/>
      <x:c r="F75" s="74"/>
      <x:c r="G75" s="74"/>
      <x:c r="H75" s="74"/>
      <x:c r="I75" s="74"/>
      <x:c r="J75" s="74"/>
      <x:c r="K75" s="74"/>
      <x:c r="L75" s="74"/>
      <x:c r="M75" s="74"/>
      <x:c r="N75" s="74"/>
      <x:c r="O75" s="74"/>
      <x:c r="P75" s="74"/>
      <x:c r="Q75" s="74"/>
      <x:c r="R75" s="74"/>
      <x:c r="S75" s="74"/>
      <x:c r="T75" s="74"/>
      <x:c r="U75" s="74"/>
      <x:c r="V75" s="74"/>
    </x:row>
    <x:row r="76">
      <x:c r="A76" s="74"/>
      <x:c r="B76" s="74"/>
      <x:c r="C76" s="74"/>
      <x:c r="D76" s="74"/>
      <x:c r="E76" s="74"/>
      <x:c r="F76" s="74"/>
      <x:c r="G76" s="74"/>
      <x:c r="H76" s="74"/>
      <x:c r="I76" s="74"/>
      <x:c r="J76" s="74"/>
      <x:c r="K76" s="74"/>
      <x:c r="L76" s="74"/>
      <x:c r="M76" s="74"/>
      <x:c r="N76" s="74"/>
      <x:c r="O76" s="74"/>
      <x:c r="P76" s="74"/>
      <x:c r="Q76" s="74"/>
      <x:c r="R76" s="74"/>
      <x:c r="S76" s="74"/>
      <x:c r="T76" s="74"/>
      <x:c r="U76" s="74"/>
      <x:c r="V76" s="74"/>
    </x:row>
    <x:row r="77">
      <x:c r="A77" s="74"/>
      <x:c r="B77" s="74"/>
      <x:c r="C77" s="74"/>
      <x:c r="D77" s="74"/>
      <x:c r="E77" s="74"/>
      <x:c r="F77" s="74"/>
      <x:c r="G77" s="74"/>
      <x:c r="H77" s="74"/>
      <x:c r="I77" s="74"/>
      <x:c r="J77" s="74"/>
      <x:c r="K77" s="74"/>
      <x:c r="L77" s="74"/>
      <x:c r="M77" s="74"/>
      <x:c r="N77" s="74"/>
      <x:c r="O77" s="74"/>
      <x:c r="P77" s="74"/>
      <x:c r="Q77" s="74"/>
      <x:c r="R77" s="74"/>
      <x:c r="S77" s="74"/>
      <x:c r="T77" s="74"/>
      <x:c r="U77" s="74"/>
      <x:c r="V77" s="74"/>
    </x:row>
    <x:row r="78">
      <x:c r="A78" s="74"/>
      <x:c r="B78" s="74"/>
      <x:c r="C78" s="74"/>
      <x:c r="D78" s="74"/>
      <x:c r="E78" s="74"/>
      <x:c r="F78" s="74"/>
      <x:c r="G78" s="74"/>
      <x:c r="H78" s="74"/>
      <x:c r="I78" s="74"/>
      <x:c r="J78" s="74"/>
      <x:c r="K78" s="74"/>
      <x:c r="L78" s="74"/>
      <x:c r="M78" s="74"/>
      <x:c r="N78" s="74"/>
      <x:c r="O78" s="74"/>
      <x:c r="P78" s="74"/>
      <x:c r="Q78" s="74"/>
      <x:c r="R78" s="74"/>
      <x:c r="S78" s="74"/>
      <x:c r="T78" s="74"/>
      <x:c r="U78" s="74"/>
      <x:c r="V78" s="74"/>
    </x:row>
    <x:row r="79">
      <x:c r="A79" s="74"/>
      <x:c r="B79" s="74"/>
      <x:c r="C79" s="74"/>
      <x:c r="D79" s="74"/>
      <x:c r="E79" s="74"/>
      <x:c r="F79" s="74"/>
      <x:c r="G79" s="74"/>
      <x:c r="H79" s="74"/>
      <x:c r="I79" s="74"/>
      <x:c r="J79" s="74"/>
      <x:c r="K79" s="74"/>
      <x:c r="L79" s="74"/>
      <x:c r="M79" s="74"/>
      <x:c r="N79" s="74"/>
      <x:c r="O79" s="74"/>
      <x:c r="P79" s="74"/>
      <x:c r="Q79" s="74"/>
      <x:c r="R79" s="74"/>
      <x:c r="S79" s="74"/>
      <x:c r="T79" s="74"/>
      <x:c r="U79" s="74"/>
      <x:c r="V79" s="74"/>
    </x:row>
    <x:row r="80">
      <x:c r="A80" s="74"/>
      <x:c r="B80" s="74"/>
      <x:c r="C80" s="74"/>
      <x:c r="D80" s="74"/>
      <x:c r="E80" s="74"/>
      <x:c r="F80" s="74"/>
      <x:c r="G80" s="74"/>
      <x:c r="H80" s="74"/>
      <x:c r="I80" s="74"/>
      <x:c r="J80" s="74"/>
      <x:c r="K80" s="74"/>
      <x:c r="L80" s="74"/>
      <x:c r="M80" s="74"/>
      <x:c r="N80" s="74"/>
      <x:c r="O80" s="74"/>
      <x:c r="P80" s="74"/>
      <x:c r="Q80" s="74"/>
      <x:c r="R80" s="74"/>
      <x:c r="S80" s="74"/>
      <x:c r="T80" s="74"/>
      <x:c r="U80" s="74"/>
      <x:c r="V80" s="74"/>
    </x:row>
    <x:row r="81">
      <x:c r="A81" s="74"/>
      <x:c r="B81" s="74"/>
      <x:c r="C81" s="74"/>
      <x:c r="D81" s="74"/>
      <x:c r="E81" s="74"/>
      <x:c r="F81" s="74"/>
      <x:c r="G81" s="74"/>
      <x:c r="H81" s="74"/>
      <x:c r="I81" s="74"/>
      <x:c r="J81" s="74"/>
      <x:c r="K81" s="74"/>
      <x:c r="L81" s="74"/>
      <x:c r="M81" s="74"/>
      <x:c r="N81" s="74"/>
      <x:c r="O81" s="74"/>
      <x:c r="P81" s="74"/>
      <x:c r="Q81" s="74"/>
      <x:c r="R81" s="74"/>
      <x:c r="S81" s="74"/>
      <x:c r="T81" s="74"/>
      <x:c r="U81" s="74"/>
      <x:c r="V81" s="74"/>
    </x:row>
    <x:row r="82">
      <x:c r="A82" s="74"/>
      <x:c r="B82" s="74"/>
      <x:c r="C82" s="74"/>
      <x:c r="D82" s="74"/>
      <x:c r="E82" s="74"/>
      <x:c r="F82" s="74"/>
      <x:c r="G82" s="74"/>
      <x:c r="H82" s="74"/>
      <x:c r="I82" s="74"/>
      <x:c r="J82" s="74"/>
      <x:c r="K82" s="74"/>
      <x:c r="L82" s="74"/>
      <x:c r="M82" s="74"/>
      <x:c r="N82" s="74"/>
      <x:c r="O82" s="74"/>
      <x:c r="P82" s="74"/>
      <x:c r="Q82" s="74"/>
      <x:c r="R82" s="74"/>
      <x:c r="S82" s="74"/>
      <x:c r="T82" s="74"/>
      <x:c r="U82" s="74"/>
      <x:c r="V82" s="74"/>
    </x:row>
    <x:row r="83">
      <x:c r="A83" s="74"/>
      <x:c r="B83" s="74"/>
      <x:c r="C83" s="74"/>
      <x:c r="D83" s="74"/>
      <x:c r="E83" s="74"/>
      <x:c r="F83" s="74"/>
      <x:c r="G83" s="74"/>
      <x:c r="H83" s="74"/>
      <x:c r="I83" s="74"/>
      <x:c r="J83" s="74"/>
      <x:c r="K83" s="74"/>
      <x:c r="L83" s="74"/>
      <x:c r="M83" s="74"/>
      <x:c r="N83" s="74"/>
      <x:c r="O83" s="74"/>
      <x:c r="P83" s="74"/>
      <x:c r="Q83" s="74"/>
      <x:c r="R83" s="74"/>
      <x:c r="S83" s="74"/>
      <x:c r="T83" s="74"/>
      <x:c r="U83" s="74"/>
      <x:c r="V83" s="74"/>
    </x:row>
    <x:row r="84">
      <x:c r="A84" s="74"/>
      <x:c r="B84" s="74"/>
      <x:c r="C84" s="74"/>
      <x:c r="D84" s="74"/>
      <x:c r="E84" s="74"/>
      <x:c r="F84" s="74"/>
      <x:c r="G84" s="74"/>
      <x:c r="H84" s="74"/>
      <x:c r="I84" s="74"/>
      <x:c r="J84" s="74"/>
      <x:c r="K84" s="74"/>
      <x:c r="L84" s="74"/>
      <x:c r="M84" s="74"/>
      <x:c r="N84" s="74"/>
      <x:c r="O84" s="74"/>
      <x:c r="P84" s="74"/>
      <x:c r="Q84" s="74"/>
      <x:c r="R84" s="74"/>
      <x:c r="S84" s="74"/>
      <x:c r="T84" s="74"/>
      <x:c r="U84" s="74"/>
      <x:c r="V84" s="74"/>
    </x:row>
    <x:row r="85">
      <x:c r="A85" s="74"/>
      <x:c r="B85" s="74"/>
      <x:c r="C85" s="74"/>
      <x:c r="D85" s="74"/>
      <x:c r="E85" s="74"/>
      <x:c r="F85" s="74"/>
      <x:c r="G85" s="74"/>
      <x:c r="H85" s="74"/>
      <x:c r="I85" s="74"/>
      <x:c r="J85" s="74"/>
      <x:c r="K85" s="74"/>
      <x:c r="L85" s="74"/>
      <x:c r="M85" s="74"/>
      <x:c r="N85" s="74"/>
      <x:c r="O85" s="74"/>
      <x:c r="P85" s="74"/>
      <x:c r="Q85" s="74"/>
      <x:c r="R85" s="74"/>
      <x:c r="S85" s="74"/>
      <x:c r="T85" s="74"/>
      <x:c r="U85" s="74"/>
      <x:c r="V85" s="74"/>
    </x:row>
    <x:row r="86">
      <x:c r="A86" s="74"/>
      <x:c r="B86" s="74"/>
      <x:c r="C86" s="74"/>
      <x:c r="D86" s="74"/>
      <x:c r="E86" s="74"/>
      <x:c r="F86" s="74"/>
      <x:c r="G86" s="74"/>
      <x:c r="H86" s="74"/>
      <x:c r="I86" s="74"/>
      <x:c r="J86" s="74"/>
      <x:c r="K86" s="74"/>
      <x:c r="L86" s="74"/>
      <x:c r="M86" s="74"/>
      <x:c r="N86" s="74"/>
      <x:c r="O86" s="74"/>
      <x:c r="P86" s="74"/>
      <x:c r="Q86" s="74"/>
      <x:c r="R86" s="74"/>
      <x:c r="S86" s="74"/>
      <x:c r="T86" s="74"/>
      <x:c r="U86" s="74"/>
      <x:c r="V86" s="74"/>
    </x:row>
    <x:row r="87">
      <x:c r="A87" s="74"/>
      <x:c r="B87" s="74"/>
      <x:c r="C87" s="74"/>
      <x:c r="D87" s="74"/>
      <x:c r="E87" s="74"/>
      <x:c r="F87" s="74"/>
      <x:c r="G87" s="74"/>
      <x:c r="H87" s="74"/>
      <x:c r="I87" s="74"/>
      <x:c r="J87" s="74"/>
      <x:c r="K87" s="74"/>
      <x:c r="L87" s="74"/>
      <x:c r="M87" s="74"/>
      <x:c r="N87" s="74"/>
      <x:c r="O87" s="74"/>
      <x:c r="P87" s="74"/>
      <x:c r="Q87" s="74"/>
      <x:c r="R87" s="74"/>
      <x:c r="S87" s="74"/>
      <x:c r="T87" s="74"/>
      <x:c r="U87" s="74"/>
      <x:c r="V87" s="74"/>
    </x:row>
    <x:row r="88">
      <x:c r="A88" s="74"/>
      <x:c r="B88" s="74"/>
      <x:c r="C88" s="74"/>
      <x:c r="D88" s="74"/>
      <x:c r="E88" s="74"/>
      <x:c r="F88" s="74"/>
      <x:c r="G88" s="74"/>
      <x:c r="H88" s="74"/>
      <x:c r="I88" s="74"/>
      <x:c r="J88" s="74"/>
      <x:c r="K88" s="74"/>
      <x:c r="L88" s="74"/>
      <x:c r="M88" s="74"/>
      <x:c r="N88" s="74"/>
      <x:c r="O88" s="74"/>
      <x:c r="P88" s="74"/>
      <x:c r="Q88" s="74"/>
      <x:c r="R88" s="74"/>
      <x:c r="S88" s="74"/>
      <x:c r="T88" s="74"/>
      <x:c r="U88" s="74"/>
      <x:c r="V88" s="74"/>
    </x:row>
    <x:row r="89">
      <x:c r="A89" s="74"/>
      <x:c r="B89" s="74"/>
      <x:c r="C89" s="74"/>
      <x:c r="D89" s="74"/>
      <x:c r="E89" s="74"/>
      <x:c r="F89" s="74"/>
      <x:c r="G89" s="74"/>
      <x:c r="H89" s="74"/>
      <x:c r="I89" s="74"/>
      <x:c r="J89" s="74"/>
      <x:c r="K89" s="74"/>
      <x:c r="L89" s="74"/>
      <x:c r="M89" s="74"/>
      <x:c r="N89" s="74"/>
      <x:c r="O89" s="74"/>
      <x:c r="P89" s="74"/>
      <x:c r="Q89" s="74"/>
      <x:c r="R89" s="74"/>
      <x:c r="S89" s="74"/>
      <x:c r="T89" s="74"/>
      <x:c r="U89" s="74"/>
      <x:c r="V89" s="74"/>
    </x:row>
    <x:row r="90">
      <x:c r="A90" s="74"/>
      <x:c r="B90" s="74"/>
      <x:c r="C90" s="74"/>
      <x:c r="D90" s="74"/>
      <x:c r="E90" s="74"/>
      <x:c r="F90" s="74"/>
      <x:c r="G90" s="74"/>
      <x:c r="H90" s="74"/>
      <x:c r="I90" s="74"/>
      <x:c r="J90" s="74"/>
      <x:c r="K90" s="74"/>
      <x:c r="L90" s="74"/>
      <x:c r="M90" s="74"/>
      <x:c r="N90" s="74"/>
      <x:c r="O90" s="74"/>
      <x:c r="P90" s="74"/>
      <x:c r="Q90" s="74"/>
      <x:c r="R90" s="74"/>
      <x:c r="S90" s="74"/>
      <x:c r="T90" s="74"/>
      <x:c r="U90" s="74"/>
      <x:c r="V90" s="74"/>
    </x:row>
    <x:row r="91">
      <x:c r="A91" s="74"/>
      <x:c r="B91" s="74"/>
      <x:c r="C91" s="74"/>
      <x:c r="D91" s="74"/>
      <x:c r="E91" s="74"/>
      <x:c r="F91" s="74"/>
      <x:c r="G91" s="74"/>
      <x:c r="H91" s="74"/>
      <x:c r="I91" s="74"/>
      <x:c r="J91" s="74"/>
      <x:c r="K91" s="74"/>
      <x:c r="L91" s="74"/>
      <x:c r="M91" s="74"/>
      <x:c r="N91" s="74"/>
      <x:c r="O91" s="74"/>
      <x:c r="P91" s="74"/>
      <x:c r="Q91" s="74"/>
      <x:c r="R91" s="74"/>
      <x:c r="S91" s="74"/>
      <x:c r="T91" s="74"/>
      <x:c r="U91" s="74"/>
      <x:c r="V91" s="74"/>
    </x:row>
    <x:row r="92">
      <x:c r="A92" s="74"/>
      <x:c r="B92" s="74"/>
      <x:c r="C92" s="74"/>
      <x:c r="D92" s="74"/>
      <x:c r="E92" s="74"/>
      <x:c r="F92" s="74"/>
      <x:c r="G92" s="74"/>
      <x:c r="H92" s="74"/>
      <x:c r="I92" s="74"/>
      <x:c r="J92" s="74"/>
      <x:c r="K92" s="74"/>
      <x:c r="L92" s="74"/>
      <x:c r="M92" s="74"/>
      <x:c r="N92" s="74"/>
      <x:c r="O92" s="74"/>
      <x:c r="P92" s="74"/>
      <x:c r="Q92" s="74"/>
      <x:c r="R92" s="74"/>
      <x:c r="S92" s="74"/>
      <x:c r="T92" s="74"/>
      <x:c r="U92" s="74"/>
      <x:c r="V92" s="74"/>
    </x:row>
    <x:row r="93">
      <x:c r="A93" s="74"/>
      <x:c r="B93" s="74"/>
      <x:c r="C93" s="74"/>
      <x:c r="D93" s="74"/>
      <x:c r="E93" s="74"/>
      <x:c r="F93" s="74"/>
      <x:c r="G93" s="74"/>
      <x:c r="H93" s="74"/>
      <x:c r="I93" s="74"/>
      <x:c r="J93" s="74"/>
      <x:c r="K93" s="74"/>
      <x:c r="L93" s="74"/>
      <x:c r="M93" s="74"/>
      <x:c r="N93" s="74"/>
      <x:c r="O93" s="74"/>
      <x:c r="P93" s="74"/>
      <x:c r="Q93" s="74"/>
      <x:c r="R93" s="74"/>
      <x:c r="S93" s="74"/>
      <x:c r="T93" s="74"/>
      <x:c r="U93" s="74"/>
      <x:c r="V93" s="74"/>
    </x:row>
    <x:row r="94">
      <x:c r="A94" s="74"/>
      <x:c r="B94" s="74"/>
      <x:c r="C94" s="74"/>
      <x:c r="D94" s="74"/>
      <x:c r="E94" s="74"/>
      <x:c r="F94" s="74"/>
      <x:c r="G94" s="74"/>
      <x:c r="H94" s="74"/>
      <x:c r="I94" s="74"/>
      <x:c r="J94" s="74"/>
      <x:c r="K94" s="74"/>
      <x:c r="L94" s="74"/>
      <x:c r="M94" s="74"/>
      <x:c r="N94" s="74"/>
      <x:c r="O94" s="74"/>
      <x:c r="P94" s="74"/>
      <x:c r="Q94" s="74"/>
      <x:c r="R94" s="74"/>
      <x:c r="S94" s="74"/>
      <x:c r="T94" s="74"/>
      <x:c r="U94" s="74"/>
      <x:c r="V94" s="74"/>
    </x:row>
    <x:row r="95">
      <x:c r="A95" s="74"/>
      <x:c r="B95" s="74"/>
      <x:c r="C95" s="74"/>
      <x:c r="D95" s="74"/>
      <x:c r="E95" s="74"/>
      <x:c r="F95" s="74"/>
      <x:c r="G95" s="74"/>
      <x:c r="H95" s="74"/>
      <x:c r="I95" s="74"/>
      <x:c r="J95" s="74"/>
      <x:c r="K95" s="74"/>
      <x:c r="L95" s="74"/>
      <x:c r="M95" s="74"/>
      <x:c r="N95" s="74"/>
      <x:c r="O95" s="74"/>
      <x:c r="P95" s="74"/>
      <x:c r="Q95" s="74"/>
      <x:c r="R95" s="74"/>
      <x:c r="S95" s="74"/>
      <x:c r="T95" s="74"/>
      <x:c r="U95" s="74"/>
      <x:c r="V95" s="74"/>
    </x:row>
    <x:row r="96">
      <x:c r="A96" s="74"/>
      <x:c r="B96" s="74"/>
      <x:c r="C96" s="74"/>
      <x:c r="D96" s="74"/>
      <x:c r="E96" s="74"/>
      <x:c r="F96" s="74"/>
      <x:c r="G96" s="74"/>
      <x:c r="H96" s="74"/>
      <x:c r="I96" s="74"/>
      <x:c r="J96" s="74"/>
      <x:c r="K96" s="74"/>
      <x:c r="L96" s="74"/>
      <x:c r="M96" s="74"/>
      <x:c r="N96" s="74"/>
      <x:c r="O96" s="74"/>
      <x:c r="P96" s="74"/>
      <x:c r="Q96" s="74"/>
      <x:c r="R96" s="74"/>
      <x:c r="S96" s="74"/>
      <x:c r="T96" s="74"/>
      <x:c r="U96" s="74"/>
      <x:c r="V96" s="74"/>
    </x:row>
    <x:row r="97">
      <x:c r="A97" s="74"/>
      <x:c r="B97" s="74"/>
      <x:c r="C97" s="74"/>
      <x:c r="D97" s="74"/>
      <x:c r="E97" s="74"/>
      <x:c r="F97" s="74"/>
      <x:c r="G97" s="74"/>
      <x:c r="H97" s="74"/>
      <x:c r="I97" s="74"/>
      <x:c r="J97" s="74"/>
      <x:c r="K97" s="74"/>
      <x:c r="L97" s="74"/>
      <x:c r="M97" s="74"/>
      <x:c r="N97" s="74"/>
      <x:c r="O97" s="74"/>
      <x:c r="P97" s="74"/>
      <x:c r="Q97" s="74"/>
      <x:c r="R97" s="74"/>
      <x:c r="S97" s="74"/>
      <x:c r="T97" s="74"/>
      <x:c r="U97" s="74"/>
      <x:c r="V97" s="74"/>
    </x:row>
    <x:row r="98">
      <x:c r="A98" s="74"/>
      <x:c r="B98" s="74"/>
      <x:c r="C98" s="74"/>
      <x:c r="D98" s="74"/>
      <x:c r="E98" s="74"/>
      <x:c r="F98" s="74"/>
      <x:c r="G98" s="74"/>
      <x:c r="H98" s="74"/>
      <x:c r="I98" s="74"/>
      <x:c r="J98" s="74"/>
      <x:c r="K98" s="74"/>
      <x:c r="L98" s="74"/>
      <x:c r="M98" s="74"/>
      <x:c r="N98" s="74"/>
      <x:c r="O98" s="74"/>
      <x:c r="P98" s="74"/>
      <x:c r="Q98" s="74"/>
      <x:c r="R98" s="74"/>
      <x:c r="S98" s="74"/>
      <x:c r="T98" s="74"/>
      <x:c r="U98" s="74"/>
      <x:c r="V98" s="74"/>
    </x:row>
    <x:row r="99">
      <x:c r="A99" s="74"/>
      <x:c r="B99" s="74"/>
      <x:c r="C99" s="74"/>
      <x:c r="D99" s="74"/>
      <x:c r="E99" s="74"/>
      <x:c r="F99" s="74"/>
      <x:c r="G99" s="74"/>
      <x:c r="H99" s="74"/>
      <x:c r="I99" s="74"/>
      <x:c r="J99" s="74"/>
      <x:c r="K99" s="74"/>
      <x:c r="L99" s="74"/>
      <x:c r="M99" s="74"/>
      <x:c r="N99" s="74"/>
      <x:c r="O99" s="74"/>
      <x:c r="P99" s="74"/>
      <x:c r="Q99" s="74"/>
      <x:c r="R99" s="74"/>
      <x:c r="S99" s="74"/>
      <x:c r="T99" s="74"/>
      <x:c r="U99" s="74"/>
      <x:c r="V99" s="74"/>
    </x:row>
    <x:row r="100">
      <x:c r="A100" s="74"/>
      <x:c r="B100" s="74"/>
      <x:c r="C100" s="74"/>
      <x:c r="D100" s="74"/>
      <x:c r="E100" s="74"/>
      <x:c r="F100" s="74"/>
      <x:c r="G100" s="74"/>
      <x:c r="H100" s="74"/>
      <x:c r="I100" s="74"/>
      <x:c r="J100" s="74"/>
      <x:c r="K100" s="74"/>
      <x:c r="L100" s="74"/>
      <x:c r="M100" s="74"/>
      <x:c r="N100" s="74"/>
      <x:c r="O100" s="74"/>
      <x:c r="P100" s="74"/>
      <x:c r="Q100" s="74"/>
      <x:c r="R100" s="74"/>
      <x:c r="S100" s="74"/>
      <x:c r="T100" s="74"/>
      <x:c r="U100" s="74"/>
      <x:c r="V100" s="74"/>
    </x:row>
    <x:row r="101">
      <x:c r="A101" s="74"/>
      <x:c r="B101" s="74"/>
      <x:c r="C101" s="74"/>
      <x:c r="D101" s="74"/>
      <x:c r="E101" s="74"/>
      <x:c r="F101" s="74"/>
      <x:c r="G101" s="74"/>
      <x:c r="H101" s="74"/>
      <x:c r="I101" s="74"/>
      <x:c r="J101" s="74"/>
      <x:c r="K101" s="74"/>
      <x:c r="L101" s="74"/>
      <x:c r="M101" s="74"/>
      <x:c r="N101" s="74"/>
      <x:c r="O101" s="74"/>
      <x:c r="P101" s="74"/>
      <x:c r="Q101" s="74"/>
      <x:c r="R101" s="74"/>
      <x:c r="S101" s="74"/>
      <x:c r="T101" s="74"/>
      <x:c r="U101" s="74"/>
      <x:c r="V101" s="74"/>
    </x:row>
    <x:row r="102">
      <x:c r="A102" s="74"/>
      <x:c r="B102" s="74"/>
      <x:c r="C102" s="74"/>
      <x:c r="D102" s="74"/>
      <x:c r="E102" s="74"/>
      <x:c r="F102" s="74"/>
      <x:c r="G102" s="74"/>
      <x:c r="H102" s="74"/>
      <x:c r="I102" s="74"/>
      <x:c r="J102" s="74"/>
      <x:c r="K102" s="74"/>
      <x:c r="L102" s="74"/>
      <x:c r="M102" s="74"/>
      <x:c r="N102" s="74"/>
      <x:c r="O102" s="74"/>
      <x:c r="P102" s="74"/>
      <x:c r="Q102" s="74"/>
      <x:c r="R102" s="74"/>
      <x:c r="S102" s="74"/>
      <x:c r="T102" s="74"/>
      <x:c r="U102" s="74"/>
      <x:c r="V102" s="74"/>
    </x:row>
    <x:row r="103">
      <x:c r="A103" s="74"/>
      <x:c r="B103" s="74"/>
      <x:c r="C103" s="74"/>
      <x:c r="D103" s="74"/>
      <x:c r="E103" s="74"/>
      <x:c r="F103" s="74"/>
      <x:c r="G103" s="74"/>
      <x:c r="H103" s="74"/>
      <x:c r="I103" s="74"/>
      <x:c r="J103" s="74"/>
      <x:c r="K103" s="74"/>
      <x:c r="L103" s="74"/>
      <x:c r="M103" s="74"/>
      <x:c r="N103" s="74"/>
      <x:c r="O103" s="74"/>
      <x:c r="P103" s="74"/>
      <x:c r="Q103" s="74"/>
      <x:c r="R103" s="74"/>
      <x:c r="S103" s="74"/>
      <x:c r="T103" s="74"/>
      <x:c r="U103" s="74"/>
      <x:c r="V103" s="74"/>
    </x:row>
    <x:row r="104">
      <x:c r="A104" s="74"/>
      <x:c r="B104" s="74"/>
      <x:c r="C104" s="74"/>
      <x:c r="D104" s="74"/>
      <x:c r="E104" s="74"/>
      <x:c r="F104" s="74"/>
      <x:c r="G104" s="74"/>
      <x:c r="H104" s="74"/>
      <x:c r="I104" s="74"/>
      <x:c r="J104" s="74"/>
      <x:c r="K104" s="74"/>
      <x:c r="L104" s="74"/>
      <x:c r="M104" s="74"/>
      <x:c r="N104" s="74"/>
      <x:c r="O104" s="74"/>
      <x:c r="P104" s="74"/>
      <x:c r="Q104" s="74"/>
      <x:c r="R104" s="74"/>
      <x:c r="S104" s="74"/>
      <x:c r="T104" s="74"/>
      <x:c r="U104" s="74"/>
      <x:c r="V104" s="74"/>
    </x:row>
    <x:row r="105">
      <x:c r="A105" s="74"/>
      <x:c r="B105" s="74"/>
      <x:c r="C105" s="74"/>
      <x:c r="D105" s="74"/>
      <x:c r="E105" s="74"/>
      <x:c r="F105" s="74"/>
      <x:c r="G105" s="74"/>
      <x:c r="H105" s="74"/>
      <x:c r="I105" s="74"/>
      <x:c r="J105" s="74"/>
      <x:c r="K105" s="74"/>
      <x:c r="L105" s="74"/>
      <x:c r="M105" s="74"/>
      <x:c r="N105" s="74"/>
      <x:c r="O105" s="74"/>
      <x:c r="P105" s="74"/>
      <x:c r="Q105" s="74"/>
      <x:c r="R105" s="74"/>
      <x:c r="S105" s="74"/>
      <x:c r="T105" s="74"/>
      <x:c r="U105" s="74"/>
      <x:c r="V105" s="74"/>
    </x:row>
    <x:row r="106">
      <x:c r="A106" s="74"/>
      <x:c r="B106" s="74"/>
      <x:c r="C106" s="74"/>
      <x:c r="D106" s="74"/>
      <x:c r="E106" s="74"/>
      <x:c r="F106" s="74"/>
      <x:c r="G106" s="74"/>
      <x:c r="H106" s="74"/>
      <x:c r="I106" s="74"/>
      <x:c r="J106" s="74"/>
      <x:c r="K106" s="74"/>
      <x:c r="L106" s="74"/>
      <x:c r="M106" s="74"/>
      <x:c r="N106" s="74"/>
      <x:c r="O106" s="74"/>
      <x:c r="P106" s="74"/>
      <x:c r="Q106" s="74"/>
      <x:c r="R106" s="74"/>
      <x:c r="S106" s="74"/>
      <x:c r="T106" s="74"/>
      <x:c r="U106" s="74"/>
      <x:c r="V106" s="74"/>
    </x:row>
    <x:row r="107">
      <x:c r="A107" s="74"/>
      <x:c r="B107" s="74"/>
      <x:c r="C107" s="74"/>
      <x:c r="D107" s="74"/>
      <x:c r="E107" s="74"/>
      <x:c r="F107" s="74"/>
      <x:c r="G107" s="74"/>
      <x:c r="H107" s="74"/>
      <x:c r="I107" s="74"/>
      <x:c r="J107" s="74"/>
      <x:c r="K107" s="74"/>
      <x:c r="L107" s="74"/>
      <x:c r="M107" s="74"/>
      <x:c r="N107" s="74"/>
      <x:c r="O107" s="74"/>
      <x:c r="P107" s="74"/>
      <x:c r="Q107" s="74"/>
      <x:c r="R107" s="74"/>
      <x:c r="S107" s="74"/>
      <x:c r="T107" s="74"/>
      <x:c r="U107" s="74"/>
      <x:c r="V107" s="74"/>
    </x:row>
    <x:row r="108">
      <x:c r="A108" s="74"/>
      <x:c r="B108" s="74"/>
      <x:c r="C108" s="74"/>
      <x:c r="D108" s="74"/>
      <x:c r="E108" s="74"/>
      <x:c r="F108" s="74"/>
      <x:c r="G108" s="74"/>
      <x:c r="H108" s="74"/>
      <x:c r="I108" s="74"/>
      <x:c r="J108" s="74"/>
      <x:c r="K108" s="74"/>
      <x:c r="L108" s="74"/>
      <x:c r="M108" s="74"/>
      <x:c r="N108" s="74"/>
      <x:c r="O108" s="74"/>
      <x:c r="P108" s="74"/>
      <x:c r="Q108" s="74"/>
      <x:c r="R108" s="74"/>
      <x:c r="S108" s="74"/>
      <x:c r="T108" s="74"/>
      <x:c r="U108" s="74"/>
      <x:c r="V108" s="74"/>
    </x:row>
    <x:row r="109">
      <x:c r="A109" s="74"/>
      <x:c r="B109" s="74"/>
      <x:c r="C109" s="74"/>
      <x:c r="D109" s="74"/>
      <x:c r="E109" s="74"/>
      <x:c r="F109" s="74"/>
      <x:c r="G109" s="74"/>
      <x:c r="H109" s="74"/>
      <x:c r="I109" s="74"/>
      <x:c r="J109" s="74"/>
      <x:c r="K109" s="74"/>
      <x:c r="L109" s="74"/>
      <x:c r="M109" s="74"/>
      <x:c r="N109" s="74"/>
      <x:c r="O109" s="74"/>
      <x:c r="P109" s="74"/>
      <x:c r="Q109" s="74"/>
      <x:c r="R109" s="74"/>
      <x:c r="S109" s="74"/>
      <x:c r="T109" s="74"/>
      <x:c r="U109" s="74"/>
      <x:c r="V109" s="74"/>
    </x:row>
    <x:row r="110">
      <x:c r="A110" s="74"/>
      <x:c r="B110" s="74"/>
      <x:c r="C110" s="74"/>
      <x:c r="D110" s="74"/>
      <x:c r="E110" s="74"/>
      <x:c r="F110" s="74"/>
      <x:c r="G110" s="74"/>
      <x:c r="H110" s="74"/>
      <x:c r="I110" s="74"/>
      <x:c r="J110" s="74"/>
      <x:c r="K110" s="74"/>
      <x:c r="L110" s="74"/>
      <x:c r="M110" s="74"/>
      <x:c r="N110" s="74"/>
      <x:c r="O110" s="74"/>
      <x:c r="P110" s="74"/>
      <x:c r="Q110" s="74"/>
      <x:c r="R110" s="74"/>
      <x:c r="S110" s="74"/>
      <x:c r="T110" s="74"/>
      <x:c r="U110" s="74"/>
      <x:c r="V110" s="74"/>
    </x:row>
    <x:row r="111">
      <x:c r="A111" s="74"/>
      <x:c r="B111" s="74"/>
      <x:c r="C111" s="74"/>
      <x:c r="D111" s="74"/>
      <x:c r="E111" s="74"/>
      <x:c r="F111" s="74"/>
      <x:c r="G111" s="74"/>
      <x:c r="H111" s="74"/>
      <x:c r="I111" s="74"/>
      <x:c r="J111" s="74"/>
      <x:c r="K111" s="74"/>
      <x:c r="L111" s="74"/>
      <x:c r="M111" s="74"/>
      <x:c r="N111" s="74"/>
      <x:c r="O111" s="74"/>
      <x:c r="P111" s="74"/>
      <x:c r="Q111" s="74"/>
      <x:c r="R111" s="74"/>
      <x:c r="S111" s="74"/>
      <x:c r="T111" s="74"/>
      <x:c r="U111" s="74"/>
      <x:c r="V111" s="74"/>
    </x:row>
    <x:row r="112">
      <x:c r="A112" s="74"/>
      <x:c r="B112" s="74"/>
      <x:c r="C112" s="74"/>
      <x:c r="D112" s="74"/>
      <x:c r="E112" s="74"/>
      <x:c r="F112" s="74"/>
      <x:c r="G112" s="74"/>
      <x:c r="H112" s="74"/>
      <x:c r="I112" s="74"/>
      <x:c r="J112" s="74"/>
      <x:c r="K112" s="74"/>
      <x:c r="L112" s="74"/>
      <x:c r="M112" s="74"/>
      <x:c r="N112" s="74"/>
      <x:c r="O112" s="74"/>
      <x:c r="P112" s="74"/>
      <x:c r="Q112" s="74"/>
      <x:c r="R112" s="74"/>
      <x:c r="S112" s="74"/>
      <x:c r="T112" s="74"/>
      <x:c r="U112" s="74"/>
      <x:c r="V112" s="74"/>
    </x:row>
    <x:row r="113">
      <x:c r="A113" s="74"/>
      <x:c r="B113" s="74"/>
      <x:c r="C113" s="74"/>
      <x:c r="D113" s="74"/>
      <x:c r="E113" s="74"/>
      <x:c r="F113" s="74"/>
      <x:c r="G113" s="74"/>
      <x:c r="H113" s="74"/>
      <x:c r="I113" s="74"/>
      <x:c r="J113" s="74"/>
      <x:c r="K113" s="74"/>
      <x:c r="L113" s="74"/>
      <x:c r="M113" s="74"/>
      <x:c r="N113" s="74"/>
      <x:c r="O113" s="74"/>
      <x:c r="P113" s="74"/>
      <x:c r="Q113" s="74"/>
      <x:c r="R113" s="74"/>
      <x:c r="S113" s="74"/>
      <x:c r="T113" s="74"/>
      <x:c r="U113" s="74"/>
      <x:c r="V113" s="74"/>
    </x:row>
    <x:row r="114">
      <x:c r="A114" s="74"/>
      <x:c r="B114" s="74"/>
      <x:c r="C114" s="74"/>
      <x:c r="D114" s="74"/>
      <x:c r="E114" s="74"/>
      <x:c r="F114" s="74"/>
      <x:c r="G114" s="74"/>
      <x:c r="H114" s="74"/>
      <x:c r="I114" s="74"/>
      <x:c r="J114" s="74"/>
      <x:c r="K114" s="74"/>
      <x:c r="L114" s="74"/>
      <x:c r="M114" s="74"/>
      <x:c r="N114" s="74"/>
      <x:c r="O114" s="74"/>
      <x:c r="P114" s="74"/>
      <x:c r="Q114" s="74"/>
      <x:c r="R114" s="74"/>
      <x:c r="S114" s="74"/>
      <x:c r="T114" s="74"/>
      <x:c r="U114" s="74"/>
      <x:c r="V114" s="74"/>
    </x:row>
    <x:row r="115">
      <x:c r="A115" s="74"/>
      <x:c r="B115" s="74"/>
      <x:c r="C115" s="74"/>
      <x:c r="D115" s="74"/>
      <x:c r="E115" s="74"/>
      <x:c r="F115" s="74"/>
      <x:c r="G115" s="74"/>
      <x:c r="H115" s="74"/>
      <x:c r="I115" s="74"/>
      <x:c r="J115" s="74"/>
      <x:c r="K115" s="74"/>
      <x:c r="L115" s="74"/>
      <x:c r="M115" s="74"/>
      <x:c r="N115" s="74"/>
      <x:c r="O115" s="74"/>
      <x:c r="P115" s="74"/>
      <x:c r="Q115" s="74"/>
      <x:c r="R115" s="74"/>
      <x:c r="S115" s="74"/>
      <x:c r="T115" s="74"/>
      <x:c r="U115" s="74"/>
      <x:c r="V115" s="74"/>
    </x:row>
    <x:row r="116">
      <x:c r="A116" s="74"/>
      <x:c r="B116" s="74"/>
      <x:c r="C116" s="74"/>
      <x:c r="D116" s="74"/>
      <x:c r="E116" s="74"/>
      <x:c r="F116" s="74"/>
      <x:c r="G116" s="74"/>
      <x:c r="H116" s="74"/>
      <x:c r="I116" s="74"/>
      <x:c r="J116" s="74"/>
      <x:c r="K116" s="74"/>
      <x:c r="L116" s="74"/>
      <x:c r="M116" s="74"/>
      <x:c r="N116" s="74"/>
      <x:c r="O116" s="74"/>
      <x:c r="P116" s="74"/>
      <x:c r="Q116" s="74"/>
      <x:c r="R116" s="74"/>
      <x:c r="S116" s="74"/>
      <x:c r="T116" s="74"/>
      <x:c r="U116" s="74"/>
      <x:c r="V116" s="74"/>
    </x:row>
    <x:row r="117">
      <x:c r="A117" s="74"/>
      <x:c r="B117" s="74"/>
      <x:c r="C117" s="74"/>
      <x:c r="D117" s="74"/>
      <x:c r="E117" s="74"/>
      <x:c r="F117" s="74"/>
      <x:c r="G117" s="74"/>
      <x:c r="H117" s="74"/>
      <x:c r="I117" s="74"/>
      <x:c r="J117" s="74"/>
      <x:c r="K117" s="74"/>
      <x:c r="L117" s="74"/>
      <x:c r="M117" s="74"/>
      <x:c r="N117" s="74"/>
      <x:c r="O117" s="74"/>
      <x:c r="P117" s="74"/>
      <x:c r="Q117" s="74"/>
      <x:c r="R117" s="74"/>
      <x:c r="S117" s="74"/>
      <x:c r="T117" s="74"/>
      <x:c r="U117" s="74"/>
      <x:c r="V117" s="74"/>
    </x:row>
    <x:row r="118">
      <x:c r="A118" s="74"/>
      <x:c r="B118" s="74"/>
      <x:c r="C118" s="74"/>
      <x:c r="D118" s="74"/>
      <x:c r="E118" s="74"/>
      <x:c r="F118" s="74"/>
      <x:c r="G118" s="74"/>
      <x:c r="H118" s="74"/>
      <x:c r="I118" s="74"/>
      <x:c r="J118" s="74"/>
      <x:c r="K118" s="74"/>
      <x:c r="L118" s="74"/>
      <x:c r="M118" s="74"/>
      <x:c r="N118" s="74"/>
      <x:c r="O118" s="74"/>
      <x:c r="P118" s="74"/>
      <x:c r="Q118" s="74"/>
      <x:c r="R118" s="74"/>
      <x:c r="S118" s="74"/>
      <x:c r="T118" s="74"/>
      <x:c r="U118" s="74"/>
      <x:c r="V118" s="74"/>
    </x:row>
    <x:row r="119">
      <x:c r="A119" s="74"/>
      <x:c r="B119" s="74"/>
      <x:c r="C119" s="74"/>
      <x:c r="D119" s="74"/>
      <x:c r="E119" s="74"/>
      <x:c r="F119" s="74"/>
      <x:c r="G119" s="74"/>
      <x:c r="H119" s="74"/>
      <x:c r="I119" s="74"/>
      <x:c r="J119" s="74"/>
      <x:c r="K119" s="74"/>
      <x:c r="L119" s="74"/>
      <x:c r="M119" s="74"/>
      <x:c r="N119" s="74"/>
      <x:c r="O119" s="74"/>
      <x:c r="P119" s="74"/>
      <x:c r="Q119" s="74"/>
      <x:c r="R119" s="74"/>
      <x:c r="S119" s="74"/>
      <x:c r="T119" s="74"/>
      <x:c r="U119" s="74"/>
      <x:c r="V119" s="74"/>
    </x:row>
    <x:row r="120">
      <x:c r="A120" s="74"/>
      <x:c r="B120" s="74"/>
      <x:c r="C120" s="74"/>
      <x:c r="D120" s="74"/>
      <x:c r="E120" s="74"/>
      <x:c r="F120" s="74"/>
      <x:c r="G120" s="74"/>
      <x:c r="H120" s="74"/>
      <x:c r="I120" s="74"/>
      <x:c r="J120" s="74"/>
      <x:c r="K120" s="74"/>
      <x:c r="L120" s="74"/>
      <x:c r="M120" s="74"/>
      <x:c r="N120" s="74"/>
      <x:c r="O120" s="74"/>
      <x:c r="P120" s="74"/>
      <x:c r="Q120" s="74"/>
      <x:c r="R120" s="74"/>
      <x:c r="S120" s="74"/>
      <x:c r="T120" s="74"/>
      <x:c r="U120" s="74"/>
      <x:c r="V120" s="74"/>
    </x:row>
    <x:row r="121">
      <x:c r="A121" s="74"/>
      <x:c r="B121" s="74"/>
      <x:c r="C121" s="74"/>
      <x:c r="D121" s="74"/>
      <x:c r="E121" s="74"/>
      <x:c r="F121" s="74"/>
      <x:c r="G121" s="74"/>
      <x:c r="H121" s="74"/>
      <x:c r="I121" s="74"/>
      <x:c r="J121" s="74"/>
      <x:c r="K121" s="74"/>
      <x:c r="L121" s="74"/>
      <x:c r="M121" s="74"/>
      <x:c r="N121" s="74"/>
      <x:c r="O121" s="74"/>
      <x:c r="P121" s="74"/>
      <x:c r="Q121" s="74"/>
      <x:c r="R121" s="74"/>
      <x:c r="S121" s="74"/>
      <x:c r="T121" s="74"/>
      <x:c r="U121" s="74"/>
      <x:c r="V121" s="74"/>
    </x:row>
    <x:row r="122">
      <x:c r="A122" s="74"/>
      <x:c r="B122" s="74"/>
      <x:c r="C122" s="74"/>
      <x:c r="D122" s="74"/>
      <x:c r="E122" s="74"/>
      <x:c r="F122" s="74"/>
      <x:c r="G122" s="74"/>
      <x:c r="H122" s="74"/>
      <x:c r="I122" s="74"/>
      <x:c r="J122" s="74"/>
      <x:c r="K122" s="74"/>
      <x:c r="L122" s="74"/>
      <x:c r="M122" s="74"/>
      <x:c r="N122" s="74"/>
      <x:c r="O122" s="74"/>
      <x:c r="P122" s="74"/>
      <x:c r="Q122" s="74"/>
      <x:c r="R122" s="74"/>
      <x:c r="S122" s="74"/>
      <x:c r="T122" s="74"/>
      <x:c r="U122" s="74"/>
      <x:c r="V122" s="74"/>
    </x:row>
    <x:row r="123">
      <x:c r="A123" s="74"/>
      <x:c r="B123" s="74"/>
      <x:c r="C123" s="74"/>
      <x:c r="D123" s="74"/>
      <x:c r="E123" s="74"/>
      <x:c r="F123" s="74"/>
      <x:c r="G123" s="74"/>
      <x:c r="H123" s="74"/>
      <x:c r="I123" s="74"/>
      <x:c r="J123" s="74"/>
      <x:c r="K123" s="74"/>
      <x:c r="L123" s="74"/>
      <x:c r="M123" s="74"/>
      <x:c r="N123" s="74"/>
      <x:c r="O123" s="74"/>
      <x:c r="P123" s="74"/>
      <x:c r="Q123" s="74"/>
      <x:c r="R123" s="74"/>
      <x:c r="S123" s="74"/>
      <x:c r="T123" s="74"/>
      <x:c r="U123" s="74"/>
      <x:c r="V123" s="74"/>
    </x:row>
    <x:row r="124">
      <x:c r="A124" s="74"/>
      <x:c r="B124" s="74"/>
      <x:c r="C124" s="74"/>
      <x:c r="D124" s="74"/>
      <x:c r="E124" s="74"/>
      <x:c r="F124" s="74"/>
      <x:c r="G124" s="74"/>
      <x:c r="H124" s="74"/>
      <x:c r="I124" s="74"/>
      <x:c r="J124" s="74"/>
      <x:c r="K124" s="74"/>
      <x:c r="L124" s="74"/>
      <x:c r="M124" s="74"/>
      <x:c r="N124" s="74"/>
      <x:c r="O124" s="74"/>
      <x:c r="P124" s="74"/>
      <x:c r="Q124" s="74"/>
      <x:c r="R124" s="74"/>
      <x:c r="S124" s="74"/>
      <x:c r="T124" s="74"/>
      <x:c r="U124" s="74"/>
      <x:c r="V124" s="74"/>
    </x:row>
    <x:row r="125">
      <x:c r="A125" s="74"/>
      <x:c r="B125" s="74"/>
      <x:c r="C125" s="74"/>
      <x:c r="D125" s="74"/>
      <x:c r="E125" s="74"/>
      <x:c r="F125" s="74"/>
      <x:c r="G125" s="74"/>
      <x:c r="H125" s="74"/>
      <x:c r="I125" s="74"/>
      <x:c r="J125" s="74"/>
      <x:c r="K125" s="74"/>
      <x:c r="L125" s="74"/>
      <x:c r="M125" s="74"/>
      <x:c r="N125" s="74"/>
      <x:c r="O125" s="74"/>
      <x:c r="P125" s="74"/>
      <x:c r="Q125" s="74"/>
      <x:c r="R125" s="74"/>
      <x:c r="S125" s="74"/>
      <x:c r="T125" s="74"/>
      <x:c r="U125" s="74"/>
      <x:c r="V125" s="74"/>
    </x:row>
    <x:row r="126">
      <x:c r="A126" s="74"/>
      <x:c r="B126" s="74"/>
      <x:c r="C126" s="74"/>
      <x:c r="D126" s="74"/>
      <x:c r="E126" s="74"/>
      <x:c r="F126" s="74"/>
      <x:c r="G126" s="74"/>
      <x:c r="H126" s="74"/>
      <x:c r="I126" s="74"/>
      <x:c r="J126" s="74"/>
      <x:c r="K126" s="74"/>
      <x:c r="L126" s="74"/>
      <x:c r="M126" s="74"/>
      <x:c r="N126" s="74"/>
      <x:c r="O126" s="74"/>
      <x:c r="P126" s="74"/>
      <x:c r="Q126" s="74"/>
      <x:c r="R126" s="74"/>
      <x:c r="S126" s="74"/>
      <x:c r="T126" s="74"/>
      <x:c r="U126" s="74"/>
      <x:c r="V126" s="74"/>
    </x:row>
    <x:row r="127">
      <x:c r="A127" s="74"/>
      <x:c r="B127" s="74"/>
      <x:c r="C127" s="74"/>
      <x:c r="D127" s="74"/>
      <x:c r="E127" s="74"/>
      <x:c r="F127" s="74"/>
      <x:c r="G127" s="74"/>
      <x:c r="H127" s="74"/>
      <x:c r="I127" s="74"/>
      <x:c r="J127" s="74"/>
      <x:c r="K127" s="74"/>
      <x:c r="L127" s="74"/>
      <x:c r="M127" s="74"/>
      <x:c r="N127" s="74"/>
      <x:c r="O127" s="74"/>
      <x:c r="P127" s="74"/>
      <x:c r="Q127" s="74"/>
      <x:c r="R127" s="74"/>
      <x:c r="S127" s="74"/>
      <x:c r="T127" s="74"/>
      <x:c r="U127" s="74"/>
      <x:c r="V127" s="74"/>
    </x:row>
    <x:row r="128">
      <x:c r="A128" s="74"/>
      <x:c r="B128" s="74"/>
      <x:c r="C128" s="74"/>
      <x:c r="D128" s="74"/>
      <x:c r="E128" s="74"/>
      <x:c r="F128" s="74"/>
      <x:c r="G128" s="74"/>
      <x:c r="H128" s="74"/>
      <x:c r="I128" s="74"/>
      <x:c r="J128" s="74"/>
      <x:c r="K128" s="74"/>
      <x:c r="L128" s="74"/>
      <x:c r="M128" s="74"/>
      <x:c r="N128" s="74"/>
      <x:c r="O128" s="74"/>
      <x:c r="P128" s="74"/>
      <x:c r="Q128" s="74"/>
      <x:c r="R128" s="74"/>
      <x:c r="S128" s="74"/>
      <x:c r="T128" s="74"/>
      <x:c r="U128" s="74"/>
      <x:c r="V128" s="74"/>
    </x:row>
    <x:row r="129">
      <x:c r="A129" s="74"/>
      <x:c r="B129" s="74"/>
      <x:c r="C129" s="74"/>
      <x:c r="D129" s="74"/>
      <x:c r="E129" s="74"/>
      <x:c r="F129" s="74"/>
      <x:c r="G129" s="74"/>
      <x:c r="H129" s="74"/>
      <x:c r="I129" s="74"/>
      <x:c r="J129" s="74"/>
      <x:c r="K129" s="74"/>
      <x:c r="L129" s="74"/>
      <x:c r="M129" s="74"/>
      <x:c r="N129" s="74"/>
      <x:c r="O129" s="74"/>
      <x:c r="P129" s="74"/>
      <x:c r="Q129" s="74"/>
      <x:c r="R129" s="74"/>
      <x:c r="S129" s="74"/>
      <x:c r="T129" s="74"/>
      <x:c r="U129" s="74"/>
      <x:c r="V129" s="74"/>
    </x:row>
    <x:row r="130">
      <x:c r="A130" s="74"/>
      <x:c r="B130" s="74"/>
      <x:c r="C130" s="74"/>
      <x:c r="D130" s="74"/>
      <x:c r="E130" s="74"/>
      <x:c r="F130" s="74"/>
      <x:c r="G130" s="74"/>
      <x:c r="H130" s="74"/>
      <x:c r="I130" s="74"/>
      <x:c r="J130" s="74"/>
      <x:c r="K130" s="74"/>
      <x:c r="L130" s="74"/>
      <x:c r="M130" s="74"/>
      <x:c r="N130" s="74"/>
      <x:c r="O130" s="74"/>
      <x:c r="P130" s="74"/>
      <x:c r="Q130" s="74"/>
      <x:c r="R130" s="74"/>
      <x:c r="S130" s="74"/>
      <x:c r="T130" s="74"/>
      <x:c r="U130" s="74"/>
      <x:c r="V130" s="74"/>
    </x:row>
    <x:row r="131">
      <x:c r="A131" s="74"/>
      <x:c r="B131" s="74"/>
      <x:c r="C131" s="74"/>
      <x:c r="D131" s="74"/>
      <x:c r="E131" s="74"/>
      <x:c r="F131" s="74"/>
      <x:c r="G131" s="74"/>
      <x:c r="H131" s="74"/>
      <x:c r="I131" s="74"/>
      <x:c r="J131" s="74"/>
      <x:c r="K131" s="74"/>
      <x:c r="L131" s="74"/>
      <x:c r="M131" s="74"/>
      <x:c r="N131" s="74"/>
      <x:c r="O131" s="74"/>
      <x:c r="P131" s="74"/>
      <x:c r="Q131" s="74"/>
      <x:c r="R131" s="74"/>
      <x:c r="S131" s="74"/>
      <x:c r="T131" s="74"/>
      <x:c r="U131" s="74"/>
      <x:c r="V131" s="74"/>
    </x:row>
    <x:row r="132">
      <x:c r="A132" s="74"/>
      <x:c r="B132" s="74"/>
      <x:c r="C132" s="74"/>
      <x:c r="D132" s="74"/>
      <x:c r="E132" s="74"/>
      <x:c r="F132" s="74"/>
      <x:c r="G132" s="74"/>
      <x:c r="H132" s="74"/>
      <x:c r="I132" s="74"/>
      <x:c r="J132" s="74"/>
      <x:c r="K132" s="74"/>
      <x:c r="L132" s="74"/>
      <x:c r="M132" s="74"/>
      <x:c r="N132" s="74"/>
      <x:c r="O132" s="74"/>
      <x:c r="P132" s="74"/>
      <x:c r="Q132" s="74"/>
      <x:c r="R132" s="74"/>
      <x:c r="S132" s="74"/>
      <x:c r="T132" s="74"/>
      <x:c r="U132" s="74"/>
      <x:c r="V132" s="74"/>
    </x:row>
    <x:row r="133">
      <x:c r="A133" s="74"/>
      <x:c r="B133" s="74"/>
      <x:c r="C133" s="74"/>
      <x:c r="D133" s="74"/>
      <x:c r="E133" s="74"/>
      <x:c r="F133" s="74"/>
      <x:c r="G133" s="74"/>
      <x:c r="H133" s="74"/>
      <x:c r="I133" s="74"/>
      <x:c r="J133" s="74"/>
      <x:c r="K133" s="74"/>
      <x:c r="L133" s="74"/>
      <x:c r="M133" s="74"/>
      <x:c r="N133" s="74"/>
      <x:c r="O133" s="74"/>
      <x:c r="P133" s="74"/>
      <x:c r="Q133" s="74"/>
      <x:c r="R133" s="74"/>
      <x:c r="S133" s="74"/>
      <x:c r="T133" s="74"/>
      <x:c r="U133" s="74"/>
      <x:c r="V133" s="74"/>
    </x:row>
    <x:row r="134">
      <x:c r="A134" s="74"/>
      <x:c r="B134" s="74"/>
      <x:c r="C134" s="74"/>
      <x:c r="D134" s="74"/>
      <x:c r="E134" s="74"/>
      <x:c r="F134" s="74"/>
      <x:c r="G134" s="74"/>
      <x:c r="H134" s="74"/>
      <x:c r="I134" s="74"/>
      <x:c r="J134" s="74"/>
      <x:c r="K134" s="74"/>
      <x:c r="L134" s="74"/>
      <x:c r="M134" s="74"/>
      <x:c r="N134" s="74"/>
      <x:c r="O134" s="74"/>
      <x:c r="P134" s="74"/>
      <x:c r="Q134" s="74"/>
      <x:c r="R134" s="74"/>
      <x:c r="S134" s="74"/>
      <x:c r="T134" s="74"/>
      <x:c r="U134" s="74"/>
      <x:c r="V134" s="74"/>
    </x:row>
    <x:row r="135">
      <x:c r="A135" s="74"/>
      <x:c r="B135" s="74"/>
      <x:c r="C135" s="74"/>
      <x:c r="D135" s="74"/>
      <x:c r="E135" s="74"/>
      <x:c r="F135" s="74"/>
      <x:c r="G135" s="74"/>
      <x:c r="H135" s="74"/>
      <x:c r="I135" s="74"/>
      <x:c r="J135" s="74"/>
      <x:c r="K135" s="74"/>
      <x:c r="L135" s="74"/>
      <x:c r="M135" s="74"/>
      <x:c r="N135" s="74"/>
      <x:c r="O135" s="74"/>
      <x:c r="P135" s="74"/>
      <x:c r="Q135" s="74"/>
      <x:c r="R135" s="74"/>
      <x:c r="S135" s="74"/>
      <x:c r="T135" s="74"/>
      <x:c r="U135" s="74"/>
      <x:c r="V135" s="74"/>
    </x:row>
    <x:row r="136">
      <x:c r="A136" s="74"/>
      <x:c r="B136" s="74"/>
      <x:c r="C136" s="74"/>
      <x:c r="D136" s="74"/>
      <x:c r="E136" s="74"/>
      <x:c r="F136" s="74"/>
      <x:c r="G136" s="74"/>
      <x:c r="H136" s="74"/>
      <x:c r="I136" s="74"/>
      <x:c r="J136" s="74"/>
      <x:c r="K136" s="74"/>
      <x:c r="L136" s="74"/>
      <x:c r="M136" s="74"/>
      <x:c r="N136" s="74"/>
      <x:c r="O136" s="74"/>
      <x:c r="P136" s="74"/>
      <x:c r="Q136" s="74"/>
      <x:c r="R136" s="74"/>
      <x:c r="S136" s="74"/>
      <x:c r="T136" s="74"/>
      <x:c r="U136" s="74"/>
      <x:c r="V136" s="74"/>
    </x:row>
    <x:row r="137">
      <x:c r="A137" s="74"/>
      <x:c r="B137" s="74"/>
      <x:c r="C137" s="74"/>
      <x:c r="D137" s="74"/>
      <x:c r="E137" s="74"/>
      <x:c r="F137" s="74"/>
      <x:c r="G137" s="74"/>
      <x:c r="H137" s="74"/>
      <x:c r="I137" s="74"/>
      <x:c r="J137" s="74"/>
      <x:c r="K137" s="74"/>
      <x:c r="L137" s="74"/>
      <x:c r="M137" s="74"/>
      <x:c r="N137" s="74"/>
      <x:c r="O137" s="74"/>
      <x:c r="P137" s="74"/>
      <x:c r="Q137" s="74"/>
      <x:c r="R137" s="74"/>
      <x:c r="S137" s="74"/>
      <x:c r="T137" s="74"/>
      <x:c r="U137" s="74"/>
      <x:c r="V137" s="74"/>
    </x:row>
    <x:row r="138">
      <x:c r="A138" s="74"/>
      <x:c r="B138" s="74"/>
      <x:c r="C138" s="74"/>
      <x:c r="D138" s="74"/>
      <x:c r="E138" s="74"/>
      <x:c r="F138" s="74"/>
      <x:c r="G138" s="74"/>
      <x:c r="H138" s="74"/>
      <x:c r="I138" s="74"/>
      <x:c r="J138" s="74"/>
      <x:c r="K138" s="74"/>
      <x:c r="L138" s="74"/>
      <x:c r="M138" s="74"/>
      <x:c r="N138" s="74"/>
      <x:c r="O138" s="74"/>
      <x:c r="P138" s="74"/>
      <x:c r="Q138" s="74"/>
      <x:c r="R138" s="74"/>
      <x:c r="S138" s="74"/>
      <x:c r="T138" s="74"/>
      <x:c r="U138" s="74"/>
      <x:c r="V138" s="74"/>
    </x:row>
    <x:row r="139">
      <x:c r="A139" s="74"/>
      <x:c r="B139" s="74"/>
      <x:c r="C139" s="74"/>
      <x:c r="D139" s="74"/>
      <x:c r="E139" s="74"/>
      <x:c r="F139" s="74"/>
      <x:c r="G139" s="74"/>
      <x:c r="H139" s="74"/>
      <x:c r="I139" s="74"/>
      <x:c r="J139" s="74"/>
      <x:c r="K139" s="74"/>
      <x:c r="L139" s="74"/>
      <x:c r="M139" s="74"/>
      <x:c r="N139" s="74"/>
      <x:c r="O139" s="74"/>
      <x:c r="P139" s="74"/>
      <x:c r="Q139" s="74"/>
      <x:c r="R139" s="74"/>
      <x:c r="S139" s="74"/>
      <x:c r="T139" s="74"/>
      <x:c r="U139" s="74"/>
      <x:c r="V139" s="74"/>
    </x:row>
    <x:row r="140">
      <x:c r="A140" s="74"/>
      <x:c r="B140" s="74"/>
      <x:c r="C140" s="74"/>
      <x:c r="D140" s="74"/>
      <x:c r="E140" s="74"/>
      <x:c r="F140" s="74"/>
      <x:c r="G140" s="74"/>
      <x:c r="H140" s="74"/>
      <x:c r="I140" s="74"/>
      <x:c r="J140" s="74"/>
      <x:c r="K140" s="74"/>
      <x:c r="L140" s="74"/>
      <x:c r="M140" s="74"/>
      <x:c r="N140" s="74"/>
      <x:c r="O140" s="74"/>
      <x:c r="P140" s="74"/>
      <x:c r="Q140" s="74"/>
      <x:c r="R140" s="74"/>
      <x:c r="S140" s="74"/>
      <x:c r="T140" s="74"/>
      <x:c r="U140" s="74"/>
      <x:c r="V140" s="74"/>
    </x:row>
    <x:row r="141">
      <x:c r="A141" s="74"/>
      <x:c r="B141" s="74"/>
      <x:c r="C141" s="74"/>
      <x:c r="D141" s="74"/>
      <x:c r="E141" s="74"/>
      <x:c r="F141" s="74"/>
      <x:c r="G141" s="74"/>
      <x:c r="H141" s="74"/>
      <x:c r="I141" s="74"/>
      <x:c r="J141" s="74"/>
      <x:c r="K141" s="74"/>
      <x:c r="L141" s="74"/>
      <x:c r="M141" s="74"/>
      <x:c r="N141" s="74"/>
      <x:c r="O141" s="74"/>
      <x:c r="P141" s="74"/>
      <x:c r="Q141" s="74"/>
      <x:c r="R141" s="74"/>
      <x:c r="S141" s="74"/>
      <x:c r="T141" s="74"/>
      <x:c r="U141" s="74"/>
      <x:c r="V141" s="74"/>
    </x:row>
    <x:row r="142">
      <x:c r="A142" s="74"/>
      <x:c r="B142" s="74"/>
      <x:c r="C142" s="74"/>
      <x:c r="D142" s="74"/>
      <x:c r="E142" s="74"/>
      <x:c r="F142" s="74"/>
      <x:c r="G142" s="74"/>
      <x:c r="H142" s="74"/>
      <x:c r="I142" s="74"/>
      <x:c r="J142" s="74"/>
      <x:c r="K142" s="74"/>
      <x:c r="L142" s="74"/>
      <x:c r="M142" s="74"/>
      <x:c r="N142" s="74"/>
      <x:c r="O142" s="74"/>
      <x:c r="P142" s="74"/>
      <x:c r="Q142" s="74"/>
      <x:c r="R142" s="74"/>
      <x:c r="S142" s="74"/>
      <x:c r="T142" s="74"/>
      <x:c r="U142" s="74"/>
      <x:c r="V142" s="74"/>
    </x:row>
    <x:row r="143">
      <x:c r="A143" s="74"/>
      <x:c r="B143" s="74"/>
      <x:c r="C143" s="74"/>
      <x:c r="D143" s="74"/>
      <x:c r="E143" s="74"/>
      <x:c r="F143" s="74"/>
      <x:c r="G143" s="74"/>
      <x:c r="H143" s="74"/>
      <x:c r="I143" s="74"/>
      <x:c r="J143" s="74"/>
      <x:c r="K143" s="74"/>
      <x:c r="L143" s="74"/>
      <x:c r="M143" s="74"/>
      <x:c r="N143" s="74"/>
      <x:c r="O143" s="74"/>
      <x:c r="P143" s="74"/>
      <x:c r="Q143" s="74"/>
      <x:c r="R143" s="74"/>
      <x:c r="S143" s="74"/>
      <x:c r="T143" s="74"/>
      <x:c r="U143" s="74"/>
      <x:c r="V143" s="74"/>
    </x:row>
    <x:row r="144">
      <x:c r="A144" s="74"/>
      <x:c r="B144" s="74"/>
      <x:c r="C144" s="74"/>
      <x:c r="D144" s="74"/>
      <x:c r="E144" s="74"/>
      <x:c r="F144" s="74"/>
      <x:c r="G144" s="74"/>
      <x:c r="H144" s="74"/>
      <x:c r="I144" s="74"/>
      <x:c r="J144" s="74"/>
      <x:c r="K144" s="74"/>
      <x:c r="L144" s="74"/>
      <x:c r="M144" s="74"/>
      <x:c r="N144" s="74"/>
      <x:c r="O144" s="74"/>
      <x:c r="P144" s="74"/>
      <x:c r="Q144" s="74"/>
      <x:c r="R144" s="74"/>
      <x:c r="S144" s="74"/>
      <x:c r="T144" s="74"/>
      <x:c r="U144" s="74"/>
      <x:c r="V144" s="74"/>
    </x:row>
    <x:row r="145">
      <x:c r="A145" s="74"/>
      <x:c r="B145" s="74"/>
      <x:c r="C145" s="74"/>
      <x:c r="D145" s="74"/>
      <x:c r="E145" s="74"/>
      <x:c r="F145" s="74"/>
      <x:c r="G145" s="74"/>
      <x:c r="H145" s="74"/>
      <x:c r="I145" s="74"/>
      <x:c r="J145" s="74"/>
      <x:c r="K145" s="74"/>
      <x:c r="L145" s="74"/>
      <x:c r="M145" s="74"/>
      <x:c r="N145" s="74"/>
      <x:c r="O145" s="74"/>
      <x:c r="P145" s="74"/>
      <x:c r="Q145" s="74"/>
      <x:c r="R145" s="74"/>
      <x:c r="S145" s="74"/>
      <x:c r="T145" s="74"/>
      <x:c r="U145" s="74"/>
      <x:c r="V145" s="74"/>
    </x:row>
    <x:row r="146">
      <x:c r="A146" s="74"/>
      <x:c r="B146" s="74"/>
      <x:c r="C146" s="74"/>
      <x:c r="D146" s="74"/>
      <x:c r="E146" s="74"/>
      <x:c r="F146" s="74"/>
      <x:c r="G146" s="74"/>
      <x:c r="H146" s="74"/>
      <x:c r="I146" s="74"/>
      <x:c r="J146" s="74"/>
      <x:c r="K146" s="74"/>
      <x:c r="L146" s="74"/>
      <x:c r="M146" s="74"/>
      <x:c r="N146" s="74"/>
      <x:c r="O146" s="74"/>
      <x:c r="P146" s="74"/>
      <x:c r="Q146" s="74"/>
      <x:c r="R146" s="74"/>
      <x:c r="S146" s="74"/>
      <x:c r="T146" s="74"/>
      <x:c r="U146" s="74"/>
      <x:c r="V146" s="74"/>
    </x:row>
    <x:row r="147">
      <x:c r="A147" s="74"/>
      <x:c r="B147" s="74"/>
      <x:c r="C147" s="74"/>
      <x:c r="D147" s="74"/>
      <x:c r="E147" s="74"/>
      <x:c r="F147" s="74"/>
      <x:c r="G147" s="74"/>
      <x:c r="H147" s="74"/>
      <x:c r="I147" s="74"/>
      <x:c r="J147" s="74"/>
      <x:c r="K147" s="74"/>
      <x:c r="L147" s="74"/>
      <x:c r="M147" s="74"/>
      <x:c r="N147" s="74"/>
      <x:c r="O147" s="74"/>
      <x:c r="P147" s="74"/>
      <x:c r="Q147" s="74"/>
      <x:c r="R147" s="74"/>
      <x:c r="S147" s="74"/>
      <x:c r="T147" s="74"/>
      <x:c r="U147" s="74"/>
      <x:c r="V147" s="74"/>
    </x:row>
    <x:row r="148">
      <x:c r="A148" s="74"/>
      <x:c r="B148" s="74"/>
      <x:c r="C148" s="74"/>
      <x:c r="D148" s="74"/>
      <x:c r="E148" s="74"/>
      <x:c r="F148" s="74"/>
      <x:c r="G148" s="74"/>
      <x:c r="H148" s="74"/>
      <x:c r="I148" s="74"/>
      <x:c r="J148" s="74"/>
      <x:c r="K148" s="74"/>
      <x:c r="L148" s="74"/>
      <x:c r="M148" s="74"/>
      <x:c r="N148" s="74"/>
      <x:c r="O148" s="74"/>
      <x:c r="P148" s="74"/>
      <x:c r="Q148" s="74"/>
      <x:c r="R148" s="74"/>
      <x:c r="S148" s="74"/>
      <x:c r="T148" s="74"/>
      <x:c r="U148" s="74"/>
      <x:c r="V148" s="74"/>
    </x:row>
    <x:row r="149">
      <x:c r="A149" s="74"/>
      <x:c r="B149" s="74"/>
      <x:c r="C149" s="74"/>
      <x:c r="D149" s="74"/>
      <x:c r="E149" s="74"/>
      <x:c r="F149" s="74"/>
      <x:c r="G149" s="74"/>
      <x:c r="H149" s="74"/>
      <x:c r="I149" s="74"/>
      <x:c r="J149" s="74"/>
      <x:c r="K149" s="74"/>
      <x:c r="L149" s="74"/>
      <x:c r="M149" s="74"/>
      <x:c r="N149" s="74"/>
      <x:c r="O149" s="74"/>
      <x:c r="P149" s="74"/>
      <x:c r="Q149" s="74"/>
      <x:c r="R149" s="74"/>
      <x:c r="S149" s="74"/>
      <x:c r="T149" s="74"/>
      <x:c r="U149" s="74"/>
      <x:c r="V149" s="74"/>
    </x:row>
    <x:row r="150">
      <x:c r="A150" s="74"/>
      <x:c r="B150" s="74"/>
      <x:c r="C150" s="74"/>
      <x:c r="D150" s="74"/>
      <x:c r="E150" s="74"/>
      <x:c r="F150" s="74"/>
      <x:c r="G150" s="74"/>
      <x:c r="H150" s="74"/>
      <x:c r="I150" s="74"/>
      <x:c r="J150" s="74"/>
      <x:c r="K150" s="74"/>
      <x:c r="L150" s="74"/>
      <x:c r="M150" s="74"/>
      <x:c r="N150" s="74"/>
      <x:c r="O150" s="74"/>
      <x:c r="P150" s="74"/>
      <x:c r="Q150" s="74"/>
      <x:c r="R150" s="74"/>
      <x:c r="S150" s="74"/>
      <x:c r="T150" s="74"/>
      <x:c r="U150" s="74"/>
      <x:c r="V150" s="74"/>
    </x:row>
    <x:row r="151">
      <x:c r="A151" s="74"/>
      <x:c r="B151" s="74"/>
      <x:c r="C151" s="74"/>
      <x:c r="D151" s="74"/>
      <x:c r="E151" s="74"/>
      <x:c r="F151" s="74"/>
      <x:c r="G151" s="74"/>
      <x:c r="H151" s="74"/>
      <x:c r="I151" s="74"/>
      <x:c r="J151" s="74"/>
      <x:c r="K151" s="74"/>
      <x:c r="L151" s="74"/>
      <x:c r="M151" s="74"/>
      <x:c r="N151" s="74"/>
      <x:c r="O151" s="74"/>
      <x:c r="P151" s="74"/>
      <x:c r="Q151" s="74"/>
      <x:c r="R151" s="74"/>
      <x:c r="S151" s="74"/>
      <x:c r="T151" s="74"/>
      <x:c r="U151" s="74"/>
      <x:c r="V151" s="74"/>
    </x:row>
    <x:row r="152">
      <x:c r="A152" s="74"/>
      <x:c r="B152" s="74"/>
      <x:c r="C152" s="74"/>
      <x:c r="D152" s="74"/>
      <x:c r="E152" s="74"/>
      <x:c r="F152" s="74"/>
      <x:c r="G152" s="74"/>
      <x:c r="H152" s="74"/>
      <x:c r="I152" s="74"/>
      <x:c r="J152" s="74"/>
      <x:c r="K152" s="74"/>
      <x:c r="L152" s="74"/>
      <x:c r="M152" s="74"/>
      <x:c r="N152" s="74"/>
      <x:c r="O152" s="74"/>
      <x:c r="P152" s="74"/>
      <x:c r="Q152" s="74"/>
      <x:c r="R152" s="74"/>
      <x:c r="S152" s="74"/>
      <x:c r="T152" s="74"/>
      <x:c r="U152" s="74"/>
      <x:c r="V152" s="74"/>
    </x:row>
    <x:row r="153">
      <x:c r="A153" s="74"/>
      <x:c r="B153" s="74"/>
      <x:c r="C153" s="74"/>
      <x:c r="D153" s="74"/>
      <x:c r="E153" s="74"/>
      <x:c r="F153" s="74"/>
      <x:c r="G153" s="74"/>
      <x:c r="H153" s="74"/>
      <x:c r="I153" s="74"/>
      <x:c r="J153" s="74"/>
      <x:c r="K153" s="74"/>
      <x:c r="L153" s="74"/>
      <x:c r="M153" s="74"/>
      <x:c r="N153" s="74"/>
      <x:c r="O153" s="74"/>
      <x:c r="P153" s="74"/>
      <x:c r="Q153" s="74"/>
      <x:c r="R153" s="74"/>
      <x:c r="S153" s="74"/>
      <x:c r="T153" s="74"/>
      <x:c r="U153" s="74"/>
      <x:c r="V153" s="74"/>
    </x:row>
    <x:row r="154">
      <x:c r="A154" s="74"/>
      <x:c r="B154" s="74"/>
      <x:c r="C154" s="74"/>
      <x:c r="D154" s="74"/>
      <x:c r="E154" s="74"/>
      <x:c r="F154" s="74"/>
      <x:c r="G154" s="74"/>
      <x:c r="H154" s="74"/>
      <x:c r="I154" s="74"/>
      <x:c r="J154" s="74"/>
      <x:c r="K154" s="74"/>
      <x:c r="L154" s="74"/>
      <x:c r="M154" s="74"/>
      <x:c r="N154" s="74"/>
      <x:c r="O154" s="74"/>
      <x:c r="P154" s="74"/>
      <x:c r="Q154" s="74"/>
      <x:c r="R154" s="74"/>
      <x:c r="S154" s="74"/>
      <x:c r="T154" s="74"/>
      <x:c r="U154" s="74"/>
      <x:c r="V154" s="74"/>
    </x:row>
    <x:row r="155">
      <x:c r="A155" s="74"/>
      <x:c r="B155" s="74"/>
      <x:c r="C155" s="74"/>
      <x:c r="D155" s="74"/>
      <x:c r="E155" s="74"/>
      <x:c r="F155" s="74"/>
      <x:c r="G155" s="74"/>
      <x:c r="H155" s="74"/>
      <x:c r="I155" s="74"/>
      <x:c r="J155" s="74"/>
      <x:c r="K155" s="74"/>
      <x:c r="L155" s="74"/>
      <x:c r="M155" s="74"/>
      <x:c r="N155" s="74"/>
      <x:c r="O155" s="74"/>
      <x:c r="P155" s="74"/>
      <x:c r="Q155" s="74"/>
      <x:c r="R155" s="74"/>
      <x:c r="S155" s="74"/>
      <x:c r="T155" s="74"/>
      <x:c r="U155" s="74"/>
      <x:c r="V155" s="74"/>
    </x:row>
    <x:row r="156">
      <x:c r="A156" s="74"/>
      <x:c r="B156" s="74"/>
      <x:c r="C156" s="74"/>
      <x:c r="D156" s="74"/>
      <x:c r="E156" s="74"/>
      <x:c r="F156" s="74"/>
      <x:c r="G156" s="74"/>
      <x:c r="H156" s="74"/>
      <x:c r="I156" s="74"/>
      <x:c r="J156" s="74"/>
      <x:c r="K156" s="74"/>
      <x:c r="L156" s="74"/>
      <x:c r="M156" s="74"/>
      <x:c r="N156" s="74"/>
      <x:c r="O156" s="74"/>
      <x:c r="P156" s="74"/>
      <x:c r="Q156" s="74"/>
      <x:c r="R156" s="74"/>
      <x:c r="S156" s="74"/>
      <x:c r="T156" s="74"/>
      <x:c r="U156" s="74"/>
      <x:c r="V156" s="74"/>
    </x:row>
    <x:row r="157">
      <x:c r="A157" s="74"/>
      <x:c r="B157" s="74"/>
      <x:c r="C157" s="74"/>
      <x:c r="D157" s="74"/>
      <x:c r="E157" s="74"/>
      <x:c r="F157" s="74"/>
      <x:c r="G157" s="74"/>
      <x:c r="H157" s="74"/>
      <x:c r="I157" s="74"/>
      <x:c r="J157" s="74"/>
      <x:c r="K157" s="74"/>
      <x:c r="L157" s="74"/>
      <x:c r="M157" s="74"/>
      <x:c r="N157" s="74"/>
      <x:c r="O157" s="74"/>
      <x:c r="P157" s="74"/>
      <x:c r="Q157" s="74"/>
      <x:c r="R157" s="74"/>
      <x:c r="S157" s="74"/>
      <x:c r="T157" s="74"/>
      <x:c r="U157" s="74"/>
      <x:c r="V157" s="74"/>
    </x:row>
    <x:row r="158">
      <x:c r="A158" s="74"/>
      <x:c r="B158" s="74"/>
      <x:c r="C158" s="74"/>
      <x:c r="D158" s="74"/>
      <x:c r="E158" s="74"/>
      <x:c r="F158" s="74"/>
      <x:c r="G158" s="74"/>
      <x:c r="H158" s="74"/>
      <x:c r="I158" s="74"/>
      <x:c r="J158" s="74"/>
      <x:c r="K158" s="74"/>
      <x:c r="L158" s="74"/>
      <x:c r="M158" s="74"/>
      <x:c r="N158" s="74"/>
      <x:c r="O158" s="74"/>
      <x:c r="P158" s="74"/>
      <x:c r="Q158" s="74"/>
      <x:c r="R158" s="74"/>
      <x:c r="S158" s="74"/>
      <x:c r="T158" s="74"/>
      <x:c r="U158" s="74"/>
      <x:c r="V158" s="74"/>
    </x:row>
    <x:row r="159">
      <x:c r="A159" s="74"/>
      <x:c r="B159" s="74"/>
      <x:c r="C159" s="74"/>
      <x:c r="D159" s="74"/>
      <x:c r="E159" s="74"/>
      <x:c r="F159" s="74"/>
      <x:c r="G159" s="74"/>
      <x:c r="H159" s="74"/>
      <x:c r="I159" s="74"/>
      <x:c r="J159" s="74"/>
      <x:c r="K159" s="74"/>
      <x:c r="L159" s="74"/>
      <x:c r="M159" s="74"/>
      <x:c r="N159" s="74"/>
      <x:c r="O159" s="74"/>
      <x:c r="P159" s="74"/>
      <x:c r="Q159" s="74"/>
      <x:c r="R159" s="74"/>
      <x:c r="S159" s="74"/>
      <x:c r="T159" s="74"/>
      <x:c r="U159" s="74"/>
      <x:c r="V159" s="74"/>
    </x:row>
    <x:row r="160">
      <x:c r="A160" s="74"/>
      <x:c r="B160" s="74"/>
      <x:c r="C160" s="74"/>
      <x:c r="D160" s="74"/>
      <x:c r="E160" s="74"/>
      <x:c r="F160" s="74"/>
      <x:c r="G160" s="74"/>
      <x:c r="H160" s="74"/>
      <x:c r="I160" s="74"/>
      <x:c r="J160" s="74"/>
      <x:c r="K160" s="74"/>
      <x:c r="L160" s="74"/>
      <x:c r="M160" s="74"/>
      <x:c r="N160" s="74"/>
      <x:c r="O160" s="74"/>
      <x:c r="P160" s="74"/>
      <x:c r="Q160" s="74"/>
      <x:c r="R160" s="74"/>
      <x:c r="S160" s="74"/>
      <x:c r="T160" s="74"/>
      <x:c r="U160" s="74"/>
      <x:c r="V160" s="74"/>
    </x:row>
    <x:row r="161">
      <x:c r="A161" s="74"/>
      <x:c r="B161" s="74"/>
      <x:c r="C161" s="74"/>
      <x:c r="D161" s="74"/>
      <x:c r="E161" s="74"/>
      <x:c r="F161" s="74"/>
      <x:c r="G161" s="74"/>
      <x:c r="H161" s="74"/>
      <x:c r="I161" s="74"/>
      <x:c r="J161" s="74"/>
      <x:c r="K161" s="74"/>
      <x:c r="L161" s="74"/>
      <x:c r="M161" s="74"/>
      <x:c r="N161" s="74"/>
      <x:c r="O161" s="74"/>
      <x:c r="P161" s="74"/>
      <x:c r="Q161" s="74"/>
      <x:c r="R161" s="74"/>
      <x:c r="S161" s="74"/>
      <x:c r="T161" s="74"/>
      <x:c r="U161" s="74"/>
      <x:c r="V161" s="74"/>
    </x:row>
    <x:row r="162">
      <x:c r="A162" s="74"/>
      <x:c r="B162" s="74"/>
      <x:c r="C162" s="74"/>
      <x:c r="D162" s="74"/>
      <x:c r="E162" s="74"/>
      <x:c r="F162" s="74"/>
      <x:c r="G162" s="74"/>
      <x:c r="H162" s="74"/>
      <x:c r="I162" s="74"/>
      <x:c r="J162" s="74"/>
      <x:c r="K162" s="74"/>
      <x:c r="L162" s="74"/>
      <x:c r="M162" s="74"/>
      <x:c r="N162" s="74"/>
      <x:c r="O162" s="74"/>
      <x:c r="P162" s="74"/>
      <x:c r="Q162" s="74"/>
      <x:c r="R162" s="74"/>
      <x:c r="S162" s="74"/>
      <x:c r="T162" s="74"/>
      <x:c r="U162" s="74"/>
      <x:c r="V162" s="74"/>
    </x:row>
    <x:row r="163">
      <x:c r="A163" s="74"/>
      <x:c r="B163" s="74"/>
      <x:c r="C163" s="74"/>
      <x:c r="D163" s="74"/>
      <x:c r="E163" s="74"/>
      <x:c r="F163" s="74"/>
      <x:c r="G163" s="74"/>
      <x:c r="H163" s="74"/>
      <x:c r="I163" s="74"/>
      <x:c r="J163" s="74"/>
      <x:c r="K163" s="74"/>
      <x:c r="L163" s="74"/>
      <x:c r="M163" s="74"/>
      <x:c r="N163" s="74"/>
      <x:c r="O163" s="74"/>
      <x:c r="P163" s="74"/>
      <x:c r="Q163" s="74"/>
      <x:c r="R163" s="74"/>
      <x:c r="S163" s="74"/>
      <x:c r="T163" s="74"/>
      <x:c r="U163" s="74"/>
      <x:c r="V163" s="74"/>
    </x:row>
    <x:row r="164">
      <x:c r="A164" s="74"/>
      <x:c r="B164" s="74"/>
      <x:c r="C164" s="74"/>
      <x:c r="D164" s="74"/>
      <x:c r="E164" s="74"/>
      <x:c r="F164" s="74"/>
      <x:c r="G164" s="74"/>
      <x:c r="H164" s="74"/>
      <x:c r="I164" s="74"/>
      <x:c r="J164" s="74"/>
      <x:c r="K164" s="74"/>
      <x:c r="L164" s="74"/>
      <x:c r="M164" s="74"/>
      <x:c r="N164" s="74"/>
      <x:c r="O164" s="74"/>
      <x:c r="P164" s="74"/>
      <x:c r="Q164" s="74"/>
      <x:c r="R164" s="74"/>
      <x:c r="S164" s="74"/>
      <x:c r="T164" s="74"/>
      <x:c r="U164" s="74"/>
      <x:c r="V164" s="74"/>
    </x:row>
    <x:row r="165">
      <x:c r="A165" s="74"/>
      <x:c r="B165" s="74"/>
      <x:c r="C165" s="74"/>
      <x:c r="D165" s="74"/>
      <x:c r="E165" s="74"/>
      <x:c r="F165" s="74"/>
      <x:c r="G165" s="74"/>
      <x:c r="H165" s="74"/>
      <x:c r="I165" s="74"/>
      <x:c r="J165" s="74"/>
      <x:c r="K165" s="74"/>
      <x:c r="L165" s="74"/>
      <x:c r="M165" s="74"/>
      <x:c r="N165" s="74"/>
      <x:c r="O165" s="74"/>
      <x:c r="P165" s="74"/>
      <x:c r="Q165" s="74"/>
      <x:c r="R165" s="74"/>
      <x:c r="S165" s="74"/>
      <x:c r="T165" s="74"/>
      <x:c r="U165" s="74"/>
      <x:c r="V165" s="74"/>
    </x:row>
    <x:row r="166">
      <x:c r="A166" s="74"/>
      <x:c r="B166" s="74"/>
      <x:c r="C166" s="74"/>
      <x:c r="D166" s="74"/>
      <x:c r="E166" s="74"/>
      <x:c r="F166" s="74"/>
      <x:c r="G166" s="74"/>
      <x:c r="H166" s="74"/>
      <x:c r="I166" s="74"/>
      <x:c r="J166" s="74"/>
      <x:c r="K166" s="74"/>
      <x:c r="L166" s="74"/>
      <x:c r="M166" s="74"/>
      <x:c r="N166" s="74"/>
      <x:c r="O166" s="74"/>
      <x:c r="P166" s="74"/>
      <x:c r="Q166" s="74"/>
      <x:c r="R166" s="74"/>
      <x:c r="S166" s="74"/>
      <x:c r="T166" s="74"/>
      <x:c r="U166" s="74"/>
      <x:c r="V166" s="74"/>
    </x:row>
    <x:row r="167">
      <x:c r="A167" s="74"/>
      <x:c r="B167" s="74"/>
      <x:c r="C167" s="74"/>
      <x:c r="D167" s="74"/>
      <x:c r="E167" s="74"/>
      <x:c r="F167" s="74"/>
      <x:c r="G167" s="74"/>
      <x:c r="H167" s="74"/>
      <x:c r="I167" s="74"/>
      <x:c r="J167" s="74"/>
      <x:c r="K167" s="74"/>
      <x:c r="L167" s="74"/>
      <x:c r="M167" s="74"/>
      <x:c r="N167" s="74"/>
      <x:c r="O167" s="74"/>
      <x:c r="P167" s="74"/>
      <x:c r="Q167" s="74"/>
      <x:c r="R167" s="74"/>
      <x:c r="S167" s="74"/>
      <x:c r="T167" s="74"/>
      <x:c r="U167" s="74"/>
      <x:c r="V167" s="74"/>
    </x:row>
    <x:row r="168">
      <x:c r="A168" s="74"/>
      <x:c r="B168" s="74"/>
      <x:c r="C168" s="74"/>
      <x:c r="D168" s="74"/>
      <x:c r="E168" s="74"/>
      <x:c r="F168" s="74"/>
      <x:c r="G168" s="74"/>
      <x:c r="H168" s="74"/>
      <x:c r="I168" s="74"/>
      <x:c r="J168" s="74"/>
      <x:c r="K168" s="74"/>
      <x:c r="L168" s="74"/>
      <x:c r="M168" s="74"/>
      <x:c r="N168" s="74"/>
      <x:c r="O168" s="74"/>
      <x:c r="P168" s="74"/>
      <x:c r="Q168" s="74"/>
      <x:c r="R168" s="74"/>
      <x:c r="S168" s="74"/>
      <x:c r="T168" s="74"/>
      <x:c r="U168" s="74"/>
      <x:c r="V168" s="74"/>
    </x:row>
    <x:row r="169">
      <x:c r="A169" s="74"/>
      <x:c r="B169" s="74"/>
      <x:c r="C169" s="74"/>
      <x:c r="D169" s="74"/>
      <x:c r="E169" s="74"/>
      <x:c r="F169" s="74"/>
      <x:c r="G169" s="74"/>
      <x:c r="H169" s="74"/>
      <x:c r="I169" s="74"/>
      <x:c r="J169" s="74"/>
      <x:c r="K169" s="74"/>
      <x:c r="L169" s="74"/>
      <x:c r="M169" s="74"/>
      <x:c r="N169" s="74"/>
      <x:c r="O169" s="74"/>
      <x:c r="P169" s="74"/>
      <x:c r="Q169" s="74"/>
      <x:c r="R169" s="74"/>
      <x:c r="S169" s="74"/>
      <x:c r="T169" s="74"/>
      <x:c r="U169" s="74"/>
      <x:c r="V169" s="74"/>
    </x:row>
    <x:row r="170">
      <x:c r="A170" s="74"/>
      <x:c r="B170" s="74"/>
      <x:c r="C170" s="74"/>
      <x:c r="D170" s="74"/>
      <x:c r="E170" s="74"/>
      <x:c r="F170" s="74"/>
      <x:c r="G170" s="74"/>
      <x:c r="H170" s="74"/>
      <x:c r="I170" s="74"/>
      <x:c r="J170" s="74"/>
      <x:c r="K170" s="74"/>
      <x:c r="L170" s="74"/>
      <x:c r="M170" s="74"/>
      <x:c r="N170" s="74"/>
      <x:c r="O170" s="74"/>
      <x:c r="P170" s="74"/>
      <x:c r="Q170" s="74"/>
      <x:c r="R170" s="74"/>
      <x:c r="S170" s="74"/>
      <x:c r="T170" s="74"/>
      <x:c r="U170" s="74"/>
      <x:c r="V170" s="74"/>
    </x:row>
    <x:row r="171">
      <x:c r="A171" s="74"/>
      <x:c r="B171" s="74"/>
      <x:c r="C171" s="74"/>
      <x:c r="D171" s="74"/>
      <x:c r="E171" s="74"/>
      <x:c r="F171" s="74"/>
      <x:c r="G171" s="74"/>
      <x:c r="H171" s="74"/>
      <x:c r="I171" s="74"/>
      <x:c r="J171" s="74"/>
      <x:c r="K171" s="74"/>
      <x:c r="L171" s="74"/>
      <x:c r="M171" s="74"/>
      <x:c r="N171" s="74"/>
      <x:c r="O171" s="74"/>
      <x:c r="P171" s="74"/>
      <x:c r="Q171" s="74"/>
      <x:c r="R171" s="74"/>
      <x:c r="S171" s="74"/>
      <x:c r="T171" s="74"/>
      <x:c r="U171" s="74"/>
      <x:c r="V171" s="74"/>
    </x:row>
    <x:row r="172">
      <x:c r="A172" s="74"/>
      <x:c r="B172" s="74"/>
      <x:c r="C172" s="74"/>
      <x:c r="D172" s="74"/>
      <x:c r="E172" s="74"/>
      <x:c r="F172" s="74"/>
      <x:c r="G172" s="74"/>
      <x:c r="H172" s="74"/>
      <x:c r="I172" s="74"/>
      <x:c r="J172" s="74"/>
      <x:c r="K172" s="74"/>
      <x:c r="L172" s="74"/>
      <x:c r="M172" s="74"/>
      <x:c r="N172" s="74"/>
      <x:c r="O172" s="74"/>
      <x:c r="P172" s="74"/>
      <x:c r="Q172" s="74"/>
      <x:c r="R172" s="74"/>
      <x:c r="S172" s="74"/>
      <x:c r="T172" s="74"/>
      <x:c r="U172" s="74"/>
      <x:c r="V172" s="74"/>
    </x:row>
    <x:row r="173">
      <x:c r="A173" s="74"/>
      <x:c r="B173" s="74"/>
      <x:c r="C173" s="74"/>
      <x:c r="D173" s="74"/>
      <x:c r="E173" s="74"/>
      <x:c r="F173" s="74"/>
      <x:c r="G173" s="74"/>
      <x:c r="H173" s="74"/>
      <x:c r="I173" s="74"/>
      <x:c r="J173" s="74"/>
      <x:c r="K173" s="74"/>
      <x:c r="L173" s="74"/>
      <x:c r="M173" s="74"/>
      <x:c r="N173" s="74"/>
      <x:c r="O173" s="74"/>
      <x:c r="P173" s="74"/>
      <x:c r="Q173" s="74"/>
      <x:c r="R173" s="74"/>
      <x:c r="S173" s="74"/>
      <x:c r="T173" s="74"/>
      <x:c r="U173" s="74"/>
      <x:c r="V173" s="74"/>
    </x:row>
    <x:row r="174">
      <x:c r="A174" s="74"/>
      <x:c r="B174" s="74"/>
      <x:c r="C174" s="74"/>
      <x:c r="D174" s="74"/>
      <x:c r="E174" s="74"/>
      <x:c r="F174" s="74"/>
      <x:c r="G174" s="74"/>
      <x:c r="H174" s="74"/>
      <x:c r="I174" s="74"/>
      <x:c r="J174" s="74"/>
      <x:c r="K174" s="74"/>
      <x:c r="L174" s="74"/>
      <x:c r="M174" s="74"/>
      <x:c r="N174" s="74"/>
      <x:c r="O174" s="74"/>
      <x:c r="P174" s="74"/>
      <x:c r="Q174" s="74"/>
      <x:c r="R174" s="74"/>
      <x:c r="S174" s="74"/>
      <x:c r="T174" s="74"/>
      <x:c r="U174" s="74"/>
      <x:c r="V174" s="74"/>
    </x:row>
    <x:row r="175">
      <x:c r="A175" s="74"/>
      <x:c r="B175" s="74"/>
      <x:c r="C175" s="74"/>
      <x:c r="D175" s="74"/>
      <x:c r="E175" s="74"/>
      <x:c r="F175" s="74"/>
      <x:c r="G175" s="74"/>
      <x:c r="H175" s="74"/>
      <x:c r="I175" s="74"/>
      <x:c r="J175" s="74"/>
      <x:c r="K175" s="74"/>
      <x:c r="L175" s="74"/>
      <x:c r="M175" s="74"/>
      <x:c r="N175" s="74"/>
      <x:c r="O175" s="74"/>
      <x:c r="P175" s="74"/>
      <x:c r="Q175" s="74"/>
      <x:c r="R175" s="74"/>
      <x:c r="S175" s="74"/>
      <x:c r="T175" s="74"/>
      <x:c r="U175" s="74"/>
      <x:c r="V175" s="74"/>
    </x:row>
    <x:row r="176">
      <x:c r="A176" s="74"/>
      <x:c r="B176" s="74"/>
      <x:c r="C176" s="74"/>
      <x:c r="D176" s="74"/>
      <x:c r="E176" s="74"/>
      <x:c r="F176" s="74"/>
      <x:c r="G176" s="74"/>
      <x:c r="H176" s="74"/>
      <x:c r="I176" s="74"/>
      <x:c r="J176" s="74"/>
      <x:c r="K176" s="74"/>
      <x:c r="L176" s="74"/>
      <x:c r="M176" s="74"/>
      <x:c r="N176" s="74"/>
      <x:c r="O176" s="74"/>
      <x:c r="P176" s="74"/>
      <x:c r="Q176" s="74"/>
      <x:c r="R176" s="74"/>
      <x:c r="S176" s="74"/>
      <x:c r="T176" s="74"/>
      <x:c r="U176" s="74"/>
      <x:c r="V176" s="74"/>
    </x:row>
    <x:row r="177">
      <x:c r="A177" s="74"/>
      <x:c r="B177" s="74"/>
      <x:c r="C177" s="74"/>
      <x:c r="D177" s="74"/>
      <x:c r="E177" s="74"/>
      <x:c r="F177" s="74"/>
      <x:c r="G177" s="74"/>
      <x:c r="H177" s="74"/>
      <x:c r="I177" s="74"/>
      <x:c r="J177" s="74"/>
      <x:c r="K177" s="74"/>
      <x:c r="L177" s="74"/>
      <x:c r="M177" s="74"/>
      <x:c r="N177" s="74"/>
      <x:c r="O177" s="74"/>
      <x:c r="P177" s="74"/>
      <x:c r="Q177" s="74"/>
      <x:c r="R177" s="74"/>
      <x:c r="S177" s="74"/>
      <x:c r="T177" s="74"/>
      <x:c r="U177" s="74"/>
      <x:c r="V177" s="74"/>
    </x:row>
    <x:row r="178">
      <x:c r="A178" s="74"/>
      <x:c r="B178" s="74"/>
      <x:c r="C178" s="74"/>
      <x:c r="D178" s="74"/>
      <x:c r="E178" s="74"/>
      <x:c r="F178" s="74"/>
      <x:c r="G178" s="74"/>
      <x:c r="H178" s="74"/>
      <x:c r="I178" s="74"/>
      <x:c r="J178" s="74"/>
      <x:c r="K178" s="74"/>
      <x:c r="L178" s="74"/>
      <x:c r="M178" s="74"/>
      <x:c r="N178" s="74"/>
      <x:c r="O178" s="74"/>
      <x:c r="P178" s="74"/>
      <x:c r="Q178" s="74"/>
      <x:c r="R178" s="74"/>
      <x:c r="S178" s="74"/>
      <x:c r="T178" s="74"/>
      <x:c r="U178" s="74"/>
      <x:c r="V178" s="74"/>
    </x:row>
    <x:row r="179">
      <x:c r="A179" s="74"/>
      <x:c r="B179" s="74"/>
      <x:c r="C179" s="74"/>
      <x:c r="D179" s="74"/>
      <x:c r="E179" s="74"/>
      <x:c r="F179" s="74"/>
      <x:c r="G179" s="74"/>
      <x:c r="H179" s="74"/>
      <x:c r="I179" s="74"/>
      <x:c r="J179" s="74"/>
      <x:c r="K179" s="74"/>
      <x:c r="L179" s="74"/>
      <x:c r="M179" s="74"/>
      <x:c r="N179" s="74"/>
      <x:c r="O179" s="74"/>
      <x:c r="P179" s="74"/>
      <x:c r="Q179" s="74"/>
      <x:c r="R179" s="74"/>
      <x:c r="S179" s="74"/>
      <x:c r="T179" s="74"/>
      <x:c r="U179" s="74"/>
      <x:c r="V179" s="74"/>
    </x:row>
    <x:row r="180">
      <x:c r="A180" s="74"/>
      <x:c r="B180" s="74"/>
      <x:c r="C180" s="74"/>
      <x:c r="D180" s="74"/>
      <x:c r="E180" s="74"/>
      <x:c r="F180" s="74"/>
      <x:c r="G180" s="74"/>
      <x:c r="H180" s="74"/>
      <x:c r="I180" s="74"/>
      <x:c r="J180" s="74"/>
      <x:c r="K180" s="74"/>
      <x:c r="L180" s="74"/>
      <x:c r="M180" s="74"/>
      <x:c r="N180" s="74"/>
      <x:c r="O180" s="74"/>
      <x:c r="P180" s="74"/>
      <x:c r="Q180" s="74"/>
      <x:c r="R180" s="74"/>
      <x:c r="S180" s="74"/>
      <x:c r="T180" s="74"/>
      <x:c r="U180" s="74"/>
      <x:c r="V180" s="74"/>
    </x:row>
    <x:row r="181">
      <x:c r="A181" s="74"/>
      <x:c r="B181" s="74"/>
      <x:c r="C181" s="74"/>
      <x:c r="D181" s="74"/>
      <x:c r="E181" s="74"/>
      <x:c r="F181" s="74"/>
      <x:c r="G181" s="74"/>
      <x:c r="H181" s="74"/>
      <x:c r="I181" s="74"/>
      <x:c r="J181" s="74"/>
      <x:c r="K181" s="74"/>
      <x:c r="L181" s="74"/>
      <x:c r="M181" s="74"/>
      <x:c r="N181" s="74"/>
      <x:c r="O181" s="74"/>
      <x:c r="P181" s="74"/>
      <x:c r="Q181" s="74"/>
      <x:c r="R181" s="74"/>
      <x:c r="S181" s="74"/>
      <x:c r="T181" s="74"/>
      <x:c r="U181" s="74"/>
      <x:c r="V181" s="74"/>
    </x:row>
    <x:row r="182">
      <x:c r="A182" s="74"/>
      <x:c r="B182" s="74"/>
      <x:c r="C182" s="74"/>
      <x:c r="D182" s="74"/>
      <x:c r="E182" s="74"/>
      <x:c r="F182" s="74"/>
      <x:c r="G182" s="74"/>
      <x:c r="H182" s="74"/>
      <x:c r="I182" s="74"/>
      <x:c r="J182" s="74"/>
      <x:c r="K182" s="74"/>
      <x:c r="L182" s="74"/>
      <x:c r="M182" s="74"/>
      <x:c r="N182" s="74"/>
      <x:c r="O182" s="74"/>
      <x:c r="P182" s="74"/>
      <x:c r="Q182" s="74"/>
      <x:c r="R182" s="74"/>
      <x:c r="S182" s="74"/>
      <x:c r="T182" s="74"/>
      <x:c r="U182" s="74"/>
      <x:c r="V182" s="74"/>
    </x:row>
    <x:row r="183">
      <x:c r="A183" s="74"/>
      <x:c r="B183" s="74"/>
      <x:c r="C183" s="74"/>
      <x:c r="D183" s="74"/>
      <x:c r="E183" s="74"/>
      <x:c r="F183" s="74"/>
      <x:c r="G183" s="74"/>
      <x:c r="H183" s="74"/>
      <x:c r="I183" s="74"/>
      <x:c r="J183" s="74"/>
      <x:c r="K183" s="74"/>
      <x:c r="L183" s="74"/>
      <x:c r="M183" s="74"/>
      <x:c r="N183" s="74"/>
      <x:c r="O183" s="74"/>
      <x:c r="P183" s="74"/>
      <x:c r="Q183" s="74"/>
      <x:c r="R183" s="74"/>
      <x:c r="S183" s="74"/>
      <x:c r="T183" s="74"/>
      <x:c r="U183" s="74"/>
      <x:c r="V183" s="74"/>
    </x:row>
    <x:row r="184">
      <x:c r="A184" s="74"/>
      <x:c r="B184" s="74"/>
      <x:c r="C184" s="74"/>
      <x:c r="D184" s="74"/>
      <x:c r="E184" s="74"/>
      <x:c r="F184" s="74"/>
      <x:c r="G184" s="74"/>
      <x:c r="H184" s="74"/>
      <x:c r="I184" s="74"/>
      <x:c r="J184" s="74"/>
      <x:c r="K184" s="74"/>
      <x:c r="L184" s="74"/>
      <x:c r="M184" s="74"/>
      <x:c r="N184" s="74"/>
      <x:c r="O184" s="74"/>
      <x:c r="P184" s="74"/>
      <x:c r="Q184" s="74"/>
      <x:c r="R184" s="74"/>
      <x:c r="S184" s="74"/>
      <x:c r="T184" s="74"/>
      <x:c r="U184" s="74"/>
      <x:c r="V184" s="74"/>
    </x:row>
    <x:row r="185">
      <x:c r="A185" s="74"/>
      <x:c r="B185" s="74"/>
      <x:c r="C185" s="74"/>
      <x:c r="D185" s="74"/>
      <x:c r="E185" s="74"/>
      <x:c r="F185" s="74"/>
      <x:c r="G185" s="74"/>
      <x:c r="H185" s="74"/>
      <x:c r="I185" s="74"/>
      <x:c r="J185" s="74"/>
      <x:c r="K185" s="74"/>
      <x:c r="L185" s="74"/>
      <x:c r="M185" s="74"/>
      <x:c r="N185" s="74"/>
      <x:c r="O185" s="74"/>
      <x:c r="P185" s="74"/>
      <x:c r="Q185" s="74"/>
      <x:c r="R185" s="74"/>
      <x:c r="S185" s="74"/>
      <x:c r="T185" s="74"/>
      <x:c r="U185" s="74"/>
      <x:c r="V185" s="74"/>
    </x:row>
    <x:row r="186">
      <x:c r="A186" s="74"/>
      <x:c r="B186" s="74"/>
      <x:c r="C186" s="74"/>
      <x:c r="D186" s="74"/>
      <x:c r="E186" s="74"/>
      <x:c r="F186" s="74"/>
      <x:c r="G186" s="74"/>
      <x:c r="H186" s="74"/>
      <x:c r="I186" s="74"/>
      <x:c r="J186" s="74"/>
      <x:c r="K186" s="74"/>
      <x:c r="L186" s="74"/>
      <x:c r="M186" s="74"/>
      <x:c r="N186" s="74"/>
      <x:c r="O186" s="74"/>
      <x:c r="P186" s="74"/>
      <x:c r="Q186" s="74"/>
      <x:c r="R186" s="74"/>
      <x:c r="S186" s="74"/>
      <x:c r="T186" s="74"/>
      <x:c r="U186" s="74"/>
      <x:c r="V186" s="74"/>
    </x:row>
    <x:row r="187">
      <x:c r="A187" s="74"/>
      <x:c r="B187" s="74"/>
      <x:c r="C187" s="74"/>
      <x:c r="D187" s="74"/>
      <x:c r="E187" s="74"/>
      <x:c r="F187" s="74"/>
      <x:c r="G187" s="74"/>
      <x:c r="H187" s="74"/>
      <x:c r="I187" s="74"/>
      <x:c r="J187" s="74"/>
      <x:c r="K187" s="74"/>
      <x:c r="L187" s="74"/>
      <x:c r="M187" s="74"/>
      <x:c r="N187" s="74"/>
      <x:c r="O187" s="74"/>
      <x:c r="P187" s="74"/>
      <x:c r="Q187" s="74"/>
      <x:c r="R187" s="74"/>
      <x:c r="S187" s="74"/>
      <x:c r="T187" s="74"/>
      <x:c r="U187" s="74"/>
      <x:c r="V187" s="74"/>
    </x:row>
    <x:row r="188">
      <x:c r="A188" s="74"/>
      <x:c r="B188" s="74"/>
      <x:c r="C188" s="74"/>
      <x:c r="D188" s="74"/>
      <x:c r="E188" s="74"/>
      <x:c r="F188" s="74"/>
      <x:c r="G188" s="74"/>
      <x:c r="H188" s="74"/>
      <x:c r="I188" s="74"/>
      <x:c r="J188" s="74"/>
      <x:c r="K188" s="74"/>
      <x:c r="L188" s="74"/>
      <x:c r="M188" s="74"/>
      <x:c r="N188" s="74"/>
      <x:c r="O188" s="74"/>
      <x:c r="P188" s="74"/>
      <x:c r="Q188" s="74"/>
      <x:c r="R188" s="74"/>
      <x:c r="S188" s="74"/>
      <x:c r="T188" s="74"/>
      <x:c r="U188" s="74"/>
      <x:c r="V188" s="74"/>
    </x:row>
    <x:row r="189">
      <x:c r="A189" s="74"/>
      <x:c r="B189" s="74"/>
      <x:c r="C189" s="74"/>
      <x:c r="D189" s="74"/>
      <x:c r="E189" s="74"/>
      <x:c r="F189" s="74"/>
      <x:c r="G189" s="74"/>
      <x:c r="H189" s="74"/>
      <x:c r="I189" s="74"/>
      <x:c r="J189" s="74"/>
      <x:c r="K189" s="74"/>
      <x:c r="L189" s="74"/>
      <x:c r="M189" s="74"/>
      <x:c r="N189" s="74"/>
      <x:c r="O189" s="74"/>
      <x:c r="P189" s="74"/>
      <x:c r="Q189" s="74"/>
      <x:c r="R189" s="74"/>
      <x:c r="S189" s="74"/>
      <x:c r="T189" s="74"/>
      <x:c r="U189" s="74"/>
      <x:c r="V189" s="74"/>
    </x:row>
    <x:row r="190">
      <x:c r="A190" s="74"/>
      <x:c r="B190" s="74"/>
      <x:c r="C190" s="74"/>
      <x:c r="D190" s="74"/>
      <x:c r="E190" s="74"/>
      <x:c r="F190" s="74"/>
      <x:c r="G190" s="74"/>
      <x:c r="H190" s="74"/>
      <x:c r="I190" s="74"/>
      <x:c r="J190" s="74"/>
      <x:c r="K190" s="74"/>
      <x:c r="L190" s="74"/>
      <x:c r="M190" s="74"/>
      <x:c r="N190" s="74"/>
      <x:c r="O190" s="74"/>
      <x:c r="P190" s="74"/>
      <x:c r="Q190" s="74"/>
      <x:c r="R190" s="74"/>
      <x:c r="S190" s="74"/>
      <x:c r="T190" s="74"/>
      <x:c r="U190" s="74"/>
      <x:c r="V190" s="74"/>
    </x:row>
    <x:row r="191">
      <x:c r="A191" s="74"/>
      <x:c r="B191" s="74"/>
      <x:c r="C191" s="74"/>
      <x:c r="D191" s="74"/>
      <x:c r="E191" s="74"/>
      <x:c r="F191" s="74"/>
      <x:c r="G191" s="74"/>
      <x:c r="H191" s="74"/>
      <x:c r="I191" s="74"/>
      <x:c r="J191" s="74"/>
      <x:c r="K191" s="74"/>
      <x:c r="L191" s="74"/>
      <x:c r="M191" s="74"/>
      <x:c r="N191" s="74"/>
      <x:c r="O191" s="74"/>
      <x:c r="P191" s="74"/>
      <x:c r="Q191" s="74"/>
      <x:c r="R191" s="74"/>
      <x:c r="S191" s="74"/>
      <x:c r="T191" s="74"/>
      <x:c r="U191" s="74"/>
      <x:c r="V191" s="74"/>
    </x:row>
    <x:row r="192">
      <x:c r="A192" s="74"/>
      <x:c r="B192" s="74"/>
      <x:c r="C192" s="74"/>
      <x:c r="D192" s="74"/>
      <x:c r="E192" s="74"/>
      <x:c r="F192" s="74"/>
      <x:c r="G192" s="74"/>
      <x:c r="H192" s="74"/>
      <x:c r="I192" s="74"/>
      <x:c r="J192" s="74"/>
      <x:c r="K192" s="74"/>
      <x:c r="L192" s="74"/>
      <x:c r="M192" s="74"/>
      <x:c r="N192" s="74"/>
      <x:c r="O192" s="74"/>
      <x:c r="P192" s="74"/>
      <x:c r="Q192" s="74"/>
      <x:c r="R192" s="74"/>
      <x:c r="S192" s="74"/>
      <x:c r="T192" s="74"/>
      <x:c r="U192" s="74"/>
      <x:c r="V192" s="74"/>
    </x:row>
    <x:row r="193">
      <x:c r="A193" s="74"/>
      <x:c r="B193" s="74"/>
      <x:c r="C193" s="74"/>
      <x:c r="D193" s="74"/>
      <x:c r="E193" s="74"/>
      <x:c r="F193" s="74"/>
      <x:c r="G193" s="74"/>
      <x:c r="H193" s="74"/>
      <x:c r="I193" s="74"/>
      <x:c r="J193" s="74"/>
      <x:c r="K193" s="74"/>
      <x:c r="L193" s="74"/>
      <x:c r="M193" s="74"/>
      <x:c r="N193" s="74"/>
      <x:c r="O193" s="74"/>
      <x:c r="P193" s="74"/>
      <x:c r="Q193" s="74"/>
      <x:c r="R193" s="74"/>
      <x:c r="S193" s="74"/>
      <x:c r="T193" s="74"/>
      <x:c r="U193" s="74"/>
      <x:c r="V193" s="74"/>
    </x:row>
    <x:row r="194">
      <x:c r="A194" s="74"/>
      <x:c r="B194" s="74"/>
      <x:c r="C194" s="74"/>
      <x:c r="D194" s="74"/>
      <x:c r="E194" s="74"/>
      <x:c r="F194" s="74"/>
      <x:c r="G194" s="74"/>
      <x:c r="H194" s="74"/>
      <x:c r="I194" s="74"/>
      <x:c r="J194" s="74"/>
      <x:c r="K194" s="74"/>
      <x:c r="L194" s="74"/>
      <x:c r="M194" s="74"/>
      <x:c r="N194" s="74"/>
      <x:c r="O194" s="74"/>
      <x:c r="P194" s="74"/>
      <x:c r="Q194" s="74"/>
      <x:c r="R194" s="74"/>
      <x:c r="S194" s="74"/>
      <x:c r="T194" s="74"/>
      <x:c r="U194" s="74"/>
      <x:c r="V194" s="74"/>
    </x:row>
    <x:row r="195">
      <x:c r="A195" s="74"/>
      <x:c r="B195" s="74"/>
      <x:c r="C195" s="74"/>
      <x:c r="D195" s="74"/>
      <x:c r="E195" s="74"/>
      <x:c r="F195" s="74"/>
      <x:c r="G195" s="74"/>
      <x:c r="H195" s="74"/>
      <x:c r="I195" s="74"/>
      <x:c r="J195" s="74"/>
      <x:c r="K195" s="74"/>
      <x:c r="L195" s="74"/>
      <x:c r="M195" s="74"/>
      <x:c r="N195" s="74"/>
      <x:c r="O195" s="74"/>
      <x:c r="P195" s="74"/>
      <x:c r="Q195" s="74"/>
      <x:c r="R195" s="74"/>
      <x:c r="S195" s="74"/>
      <x:c r="T195" s="74"/>
      <x:c r="U195" s="74"/>
      <x:c r="V195" s="74"/>
    </x:row>
    <x:row r="196">
      <x:c r="A196" s="74"/>
      <x:c r="B196" s="74"/>
      <x:c r="C196" s="74"/>
      <x:c r="D196" s="74"/>
      <x:c r="E196" s="74"/>
      <x:c r="F196" s="74"/>
      <x:c r="G196" s="74"/>
      <x:c r="H196" s="74"/>
      <x:c r="I196" s="74"/>
      <x:c r="J196" s="74"/>
      <x:c r="K196" s="74"/>
      <x:c r="L196" s="74"/>
      <x:c r="M196" s="74"/>
      <x:c r="N196" s="74"/>
      <x:c r="O196" s="74"/>
      <x:c r="P196" s="74"/>
      <x:c r="Q196" s="74"/>
      <x:c r="R196" s="74"/>
      <x:c r="S196" s="74"/>
      <x:c r="T196" s="74"/>
      <x:c r="U196" s="74"/>
      <x:c r="V196" s="74"/>
    </x:row>
    <x:row r="197">
      <x:c r="A197" s="74"/>
      <x:c r="B197" s="74"/>
      <x:c r="C197" s="74"/>
      <x:c r="D197" s="74"/>
      <x:c r="E197" s="74"/>
      <x:c r="F197" s="74"/>
      <x:c r="G197" s="74"/>
      <x:c r="H197" s="74"/>
      <x:c r="I197" s="74"/>
      <x:c r="J197" s="74"/>
      <x:c r="K197" s="74"/>
      <x:c r="L197" s="74"/>
      <x:c r="M197" s="74"/>
      <x:c r="N197" s="74"/>
      <x:c r="O197" s="74"/>
      <x:c r="P197" s="74"/>
      <x:c r="Q197" s="74"/>
      <x:c r="R197" s="74"/>
      <x:c r="S197" s="74"/>
      <x:c r="T197" s="74"/>
      <x:c r="U197" s="74"/>
      <x:c r="V197" s="74"/>
    </x:row>
    <x:row r="198">
      <x:c r="A198" s="74"/>
      <x:c r="B198" s="74"/>
      <x:c r="C198" s="74"/>
      <x:c r="D198" s="74"/>
      <x:c r="E198" s="74"/>
      <x:c r="F198" s="74"/>
      <x:c r="G198" s="74"/>
      <x:c r="H198" s="74"/>
      <x:c r="I198" s="74"/>
      <x:c r="J198" s="74"/>
      <x:c r="K198" s="74"/>
      <x:c r="L198" s="74"/>
      <x:c r="M198" s="74"/>
      <x:c r="N198" s="74"/>
      <x:c r="O198" s="74"/>
      <x:c r="P198" s="74"/>
      <x:c r="Q198" s="74"/>
      <x:c r="R198" s="74"/>
      <x:c r="S198" s="74"/>
      <x:c r="T198" s="74"/>
      <x:c r="U198" s="74"/>
      <x:c r="V198" s="74"/>
    </x:row>
    <x:row r="199">
      <x:c r="A199" s="74"/>
      <x:c r="B199" s="74"/>
      <x:c r="C199" s="74"/>
      <x:c r="D199" s="74"/>
      <x:c r="E199" s="74"/>
      <x:c r="F199" s="74"/>
      <x:c r="G199" s="74"/>
      <x:c r="H199" s="74"/>
      <x:c r="I199" s="74"/>
      <x:c r="J199" s="74"/>
      <x:c r="K199" s="74"/>
      <x:c r="L199" s="74"/>
      <x:c r="M199" s="74"/>
      <x:c r="N199" s="74"/>
      <x:c r="O199" s="74"/>
      <x:c r="P199" s="74"/>
      <x:c r="Q199" s="74"/>
      <x:c r="R199" s="74"/>
      <x:c r="S199" s="74"/>
      <x:c r="T199" s="74"/>
      <x:c r="U199" s="74"/>
      <x:c r="V199" s="74"/>
    </x:row>
    <x:row r="200">
      <x:c r="A200" s="74"/>
      <x:c r="B200" s="74"/>
      <x:c r="C200" s="74"/>
      <x:c r="D200" s="74"/>
      <x:c r="E200" s="74"/>
      <x:c r="F200" s="74"/>
      <x:c r="G200" s="74"/>
      <x:c r="H200" s="74"/>
      <x:c r="I200" s="74"/>
      <x:c r="J200" s="74"/>
      <x:c r="K200" s="74"/>
      <x:c r="L200" s="74"/>
      <x:c r="M200" s="74"/>
      <x:c r="N200" s="74"/>
      <x:c r="O200" s="74"/>
      <x:c r="P200" s="74"/>
      <x:c r="Q200" s="74"/>
      <x:c r="R200" s="74"/>
      <x:c r="S200" s="74"/>
      <x:c r="T200" s="74"/>
      <x:c r="U200" s="74"/>
      <x:c r="V200" s="74"/>
    </x:row>
  </x:sheetData>
  <x:mergeCells>
    <x:mergeCell ref="A1:I1"/>
    <x:mergeCell ref="A2:I2"/>
  </x:mergeCells>
  <x:conditionalFormatting sqref="H5:H36">
    <x:cfRule type="expression" dxfId="13" priority="1">
      <x:formula>OR(H5="PATH_CONFIRMATION_REQUIRED",H5="RECOMPUTE_REQUIRED",H5="IMPLEMENTATION_REQUIRED",H5="PROVENANCE_PENDING")</x:formula>
    </x:cfRule>
    <x:cfRule type="expression" dxfId="14" priority="2">
      <x:formula>H5="TO_MIGRATE"</x:formula>
    </x:cfRule>
    <x:cfRule type="expression" dxfId="15" priority="3">
      <x:formula>LEFT(H5,6)="FROZEN"</x:formula>
    </x:cfRule>
    <x:cfRule type="expression" dxfId="16" priority="4">
      <x:formula>H5="SUPERSEDED_HISTORICAL"</x:formula>
    </x:cfRule>
  </x:conditionalFormatting>
  <x:pageMargins left="0.7" right="0.7" top="0.75" bottom="0.75" header="0.3" footer="0.3"/>
  <x:tableParts count="2">
    <x:tablePart xmlns:r="http://schemas.openxmlformats.org/officeDocument/2006/relationships" r:id="Re8a496df040b4298"/>
    <x:tablePart xmlns:r="http://schemas.openxmlformats.org/officeDocument/2006/relationships" r:id="R0ffc0a16405349a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60" hidden="0" customWidth="1"/>
    <x:col min="4" max="4" width="48" hidden="0" customWidth="1"/>
    <x:col min="5" max="5" width="48" hidden="0" customWidth="1"/>
    <x:col min="6" max="6" width="46" hidden="0" customWidth="1"/>
    <x:col min="7" max="7" width="46" hidden="0" customWidth="1"/>
    <x:col min="8" max="8" width="16" hidden="0" customWidth="1"/>
  </x:cols>
  <x:sheetData>
    <x:row r="1">
      <x:c r="A1" s="95" t="str">
        <x:v>Decision ID</x:v>
      </x:c>
      <x:c r="B1" s="95" t="str">
        <x:v>주제</x:v>
      </x:c>
      <x:c r="C1" s="95" t="str">
        <x:v>동결 결정</x:v>
      </x:c>
      <x:c r="D1" s="95" t="str">
        <x:v>근거</x:v>
      </x:c>
      <x:c r="E1" s="95" t="str">
        <x:v>허용 처리</x:v>
      </x:c>
      <x:c r="F1" s="95" t="str">
        <x:v>금지 처리</x:v>
      </x:c>
      <x:c r="G1" s="95" t="str">
        <x:v>영향 범위·추가 작업</x:v>
      </x:c>
      <x:c r="H1" s="95" t="str">
        <x:v>상태</x:v>
      </x:c>
      <x:c r="I1" s="74"/>
      <x:c r="J1" s="74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</x:row>
    <x:row r="2" ht="72" customHeight="1">
      <x:c r="A2" s="79" t="str">
        <x:v>D01</x:v>
      </x:c>
      <x:c r="B2" s="79" t="str">
        <x:v>E1/N5M의 지위</x:v>
      </x:c>
      <x:c r="C2" s="79" t="str">
        <x:v>옵션 (a) 채택: E1/N5M은 최초 matched-budget 관측 코호트로 계보·부록에 유지하되, headline inference와 본문 핵심 수치는 E2/E3 C4R-journal 코호트로 대체한다.</x:v>
      </x:c>
      <x:c r="D2" s="79" t="str">
        <x:v>E3는 C4–C4R–C6 전 성분, 교차 백엔드, 독립 live repeat, TOST·Shapley·raw/clipping 감사를 하나의 계약에서 제공한다.</x:v>
      </x:c>
      <x:c r="E2" s="79" t="str">
        <x:v>E1을 first observation·historical reproduction으로 언급; 제7.1에서 ‘지지되었으나 후속 분석으로 주 추론 대체’ 판정.</x:v>
      </x:c>
      <x:c r="F2" s="79" t="str">
        <x:v>E1 수치를 E3 수치와 무라벨 혼합; E1을 실행되지 않은 것처럼 삭제.</x:v>
      </x:c>
      <x:c r="G2" s="79" t="str">
        <x:v>S31을 historical로 이동; S28·S30 E3 재산출 필요.</x:v>
      </x:c>
      <x:c r="H2" s="103" t="str">
        <x:v>FROZEN</x:v>
      </x:c>
      <x:c r="I2" s="74"/>
      <x:c r="J2" s="74"/>
      <x:c r="K2" s="74"/>
      <x:c r="L2" s="74"/>
      <x:c r="M2" s="74"/>
      <x:c r="N2" s="74"/>
      <x:c r="O2" s="74"/>
      <x:c r="P2" s="74"/>
      <x:c r="Q2" s="74"/>
      <x:c r="R2" s="74"/>
      <x:c r="S2" s="74"/>
      <x:c r="T2" s="74"/>
      <x:c r="U2" s="74"/>
      <x:c r="V2" s="74"/>
    </x:row>
    <x:row r="3" ht="72" customHeight="1">
      <x:c r="A3" s="79" t="str">
        <x:v>D02</x:v>
      </x:c>
      <x:c r="B3" s="79" t="str">
        <x:v>C6−C4R과 C6−C6X의 역할</x:v>
      </x:c>
      <x:c r="C3" s="79" t="str">
        <x:v>C6−C4R은 C4R–C6 matched design에 따른 조건부 참조증분이고, C6−C6X는 참조 정체성에 대한 사전명세 보조 타당화다.</x:v>
      </x:c>
      <x:c r="D3" s="79" t="str">
        <x:v>두 contrast의 식별 역할이 다르며 ‘전제’라는 표현은 과도하다.</x:v>
      </x:c>
      <x:c r="E3" s="79" t="str">
        <x:v>C12·C16 및 Architecture Contract의 문구를 matched identification + auxiliary validation으로 통일.</x:v>
      </x:c>
      <x:c r="F3" s="79" t="str">
        <x:v>C6−C6X가 C6−C4R 식별을 성립시키는 필수 전제라고 표현.</x:v>
      </x:c>
      <x:c r="G3" s="79" t="str">
        <x:v>C12, C16, 제6.2·6.4.1</x:v>
      </x:c>
      <x:c r="H3" s="103" t="str">
        <x:v>FROZEN</x:v>
      </x:c>
      <x:c r="I3" s="74"/>
      <x:c r="J3" s="74"/>
      <x:c r="K3" s="74"/>
      <x:c r="L3" s="74"/>
      <x:c r="M3" s="74"/>
      <x:c r="N3" s="74"/>
      <x:c r="O3" s="74"/>
      <x:c r="P3" s="74"/>
      <x:c r="Q3" s="74"/>
      <x:c r="R3" s="74"/>
      <x:c r="S3" s="74"/>
      <x:c r="T3" s="74"/>
      <x:c r="U3" s="74"/>
      <x:c r="V3" s="74"/>
    </x:row>
    <x:row r="4" ht="72" customHeight="1">
      <x:c r="A4" s="79" t="str">
        <x:v>D03</x:v>
      </x:c>
      <x:c r="B4" s="79" t="str">
        <x:v>P50 후보 라이브러리 표현 단계</x:v>
      </x:c>
      <x:c r="C4" s="79" t="str">
        <x:v>원본 YAML·checkpoint vector 직접 비교 완료 전에는 ‘후보 라이브러리 선언 확인’으로 쓰고, 비교 PASS 후 ‘동일 라이브러리를 사용했다’로 강화한다.</x:v>
      </x:c>
      <x:c r="D4" s="79" t="str">
        <x:v>Metadata 선언은 선언–파일 관계만, checkpoint numeric comparison은 선언–실행 일치를 검증한다.</x:v>
      </x:c>
      <x:c r="E4" s="79" t="str">
        <x:v>S07·S08·S25를 함께 사용.</x:v>
      </x:c>
      <x:c r="F4" s="79" t="str">
        <x:v>YAML 메타데이터만으로 split-track 삭제를 완결.</x:v>
      </x:c>
      <x:c r="G4" s="79" t="str">
        <x:v>C05·C06·후보 라이브러리 provenance</x:v>
      </x:c>
      <x:c r="H4" s="103" t="str">
        <x:v>FROZEN</x:v>
      </x:c>
      <x:c r="I4" s="74"/>
      <x:c r="J4" s="74"/>
      <x:c r="K4" s="74"/>
      <x:c r="L4" s="74"/>
      <x:c r="M4" s="74"/>
      <x:c r="N4" s="74"/>
      <x:c r="O4" s="74"/>
      <x:c r="P4" s="74"/>
      <x:c r="Q4" s="74"/>
      <x:c r="R4" s="74"/>
      <x:c r="S4" s="74"/>
      <x:c r="T4" s="74"/>
      <x:c r="U4" s="74"/>
      <x:c r="V4" s="74"/>
    </x:row>
    <x:row r="5" ht="72" customHeight="1">
      <x:c r="A5" s="79" t="str">
        <x:v>D04</x:v>
      </x:c>
      <x:c r="B5" s="79" t="str">
        <x:v>용어</x:v>
      </x:c>
      <x:c r="C5" s="79" t="str">
        <x:v>‘배치 정책 시스템’ 대신 ‘배포 정책 시스템(deployment policy system)’을 사용한다.</x:v>
      </x:c>
      <x:c r="D5" s="79" t="str">
        <x:v>한국어 ‘배치’는 batch processing으로 오독될 수 있다.</x:v>
      </x:c>
      <x:c r="E5" s="79" t="str">
        <x:v>서론·초록·결론·Claim Map 전수 교체.</x:v>
      </x:c>
      <x:c r="F5" s="79" t="str">
        <x:v>동일 문서에서 배치/배포 혼용.</x:v>
      </x:c>
      <x:c r="G5" s="79" t="str">
        <x:v>C28 및 Writing Rules</x:v>
      </x:c>
      <x:c r="H5" s="103" t="str">
        <x:v>FROZEN</x:v>
      </x:c>
      <x:c r="I5" s="74"/>
      <x:c r="J5" s="74"/>
      <x:c r="K5" s="74"/>
      <x:c r="L5" s="74"/>
      <x:c r="M5" s="74"/>
      <x:c r="N5" s="74"/>
      <x:c r="O5" s="74"/>
      <x:c r="P5" s="74"/>
      <x:c r="Q5" s="74"/>
      <x:c r="R5" s="74"/>
      <x:c r="S5" s="74"/>
      <x:c r="T5" s="74"/>
      <x:c r="U5" s="74"/>
      <x:c r="V5" s="74"/>
    </x:row>
    <x:row r="6" ht="72" customHeight="1">
      <x:c r="A6" s="79" t="str">
        <x:v>D05</x:v>
      </x:c>
      <x:c r="B6" s="79" t="str">
        <x:v>Canonical path root</x:v>
      </x:c>
      <x:c r="C6" s="79" t="str">
        <x:v>모든 상대경로의 root는 최종 Git commit의 `repro_repo/` repository root다. /mnt/data 감사 산출물은 `data/analysis/paper_repro/05_prewrite_audit/`로 이관한다.</x:v>
      </x:c>
      <x:c r="D6" s="79" t="str">
        <x:v>심사위원이 로컬 세션 경로가 아닌 저장소 상대경로로 증거를 추적할 수 있어야 한다.</x:v>
      </x:c>
      <x:c r="E6" s="79" t="str">
        <x:v>Sources와 Claim Map은 Source ID를 foreign key처럼 사용.</x:v>
      </x:c>
      <x:c r="F6" s="79" t="str">
        <x:v>sandbox 링크만 남기고 원본 미편입.</x:v>
      </x:c>
      <x:c r="G6" s="79" t="str">
        <x:v>Sources 전체</x:v>
      </x:c>
      <x:c r="H6" s="103" t="str">
        <x:v>FROZEN</x:v>
      </x:c>
      <x:c r="I6" s="74"/>
      <x:c r="J6" s="74"/>
      <x:c r="K6" s="74"/>
      <x:c r="L6" s="74"/>
      <x:c r="M6" s="74"/>
      <x:c r="N6" s="74"/>
      <x:c r="O6" s="74"/>
      <x:c r="P6" s="74"/>
      <x:c r="Q6" s="74"/>
      <x:c r="R6" s="74"/>
      <x:c r="S6" s="74"/>
      <x:c r="T6" s="74"/>
      <x:c r="U6" s="74"/>
      <x:c r="V6" s="74"/>
    </x:row>
    <x:row r="7" ht="72" customHeight="1">
      <x:c r="A7" s="74" t="str">
        <x:v>D06</x:v>
      </x:c>
      <x:c r="B7" s="74" t="str">
        <x:v>Canonical evidence layer</x:v>
      </x:c>
      <x:c r="C7" s="74" t="str">
        <x:v>Claim은 upstream machine artifact를 직접 참조하지 않고 stable Source ID를 통해 data/reproduction/claim_evidence/source_extracts/의 작은 canonical extract를 참조한다.</x:v>
      </x:c>
      <x:c r="D7" s="74" t="str">
        <x:v>sidecar로 upstream path·filter·columns를 추적한다.</x:v>
      </x:c>
      <x:c r="E7" s="74" t="str">
        <x:v>Claim Map에는 canonical path, Sources에는 upstream lineage와 materialization policy를 기록한다.</x:v>
      </x:c>
      <x:c r="F7" s="74" t="str">
        <x:v>thesis_repo·/mnt/data·절대경로 또는 broad directory를 최종 Claim source로 사용한다.</x:v>
      </x:c>
      <x:c r="G7" s="74" t="str">
        <x:v>Claim Map K열, Sources J:M, 코드의 source_materializer</x:v>
      </x:c>
      <x:c r="H7" s="74" t="str">
        <x:v>FROZEN</x:v>
      </x:c>
      <x:c r="I7" s="74"/>
      <x:c r="J7" s="74"/>
      <x:c r="K7" s="74"/>
      <x:c r="L7" s="74"/>
      <x:c r="M7" s="74"/>
      <x:c r="N7" s="74"/>
      <x:c r="O7" s="74"/>
      <x:c r="P7" s="74"/>
      <x:c r="Q7" s="74"/>
      <x:c r="R7" s="74"/>
      <x:c r="S7" s="74"/>
      <x:c r="T7" s="74"/>
      <x:c r="U7" s="74"/>
      <x:c r="V7" s="74"/>
    </x:row>
    <x:row r="8" ht="72" customHeight="1">
      <x:c r="A8" s="74" t="str">
        <x:v>D07</x:v>
      </x:c>
      <x:c r="B8" s="74" t="str">
        <x:v>H3 Haiku와 E4 QC 범위</x:v>
      </x:c>
      <x:c r="C8" s="74" t="str">
        <x:v>C12의 Haiku H3 참조출처 결과는 기존 자유작성 H3 실행계약에 속하며, E4 matched-budget QC 적격성 판정과 별개다.</x:v>
      </x:c>
      <x:c r="D8" s="74" t="str">
        <x:v>서로 다른 생성계약의 결과를 혼동하면 QC 탈락 모델을 확증 코호트에 사용한 것으로 오해할 수 있다.</x:v>
      </x:c>
      <x:c r="E8" s="74" t="str">
        <x:v>C12 scope와 불확실성에 실행계약 차이를 명시한다.</x:v>
      </x:c>
      <x:c r="F8" s="74" t="str">
        <x:v>E4 QC 탈락을 H3 결과의 사후 무효화로 소급 적용하거나 두 계약을 동일시한다.</x:v>
      </x:c>
      <x:c r="G8" s="74" t="str">
        <x:v>C12, C24, 제6.4.1·6.5</x:v>
      </x:c>
      <x:c r="H8" s="74" t="str">
        <x:v>FROZEN</x:v>
      </x:c>
      <x:c r="I8" s="74"/>
      <x:c r="J8" s="74"/>
      <x:c r="K8" s="74"/>
      <x:c r="L8" s="74"/>
      <x:c r="M8" s="74"/>
      <x:c r="N8" s="74"/>
      <x:c r="O8" s="74"/>
      <x:c r="P8" s="74"/>
      <x:c r="Q8" s="74"/>
      <x:c r="R8" s="74"/>
      <x:c r="S8" s="74"/>
      <x:c r="T8" s="74"/>
      <x:c r="U8" s="74"/>
      <x:c r="V8" s="74"/>
    </x:row>
    <x:row r="9" ht="72" customHeight="1">
      <x:c r="A9" s="74" t="str">
        <x:v>D08</x:v>
      </x:c>
      <x:c r="B9" s="74" t="str">
        <x:v>C15 ‘주로’의 판정기준</x:v>
      </x:c>
      <x:c r="C9" s="74" t="str">
        <x:v>‘패키지 약화가 주로 자기 재검토에서 발생했다’는 표현은 각 유한예산에서 |self-review interaction|이 |reference interaction|보다 크다는 성분분해에 근거한다.</x:v>
      </x:c>
      <x:c r="D9" s="74" t="str">
        <x:v>Within-arm self-review 음수만으로는 ‘주로’를 직접 지지하지 못한다.</x:v>
      </x:c>
      <x:c r="E9" s="74" t="str">
        <x:v>S16 interaction extract에 package=self-review+reference identity와 세 성분 값을 함께 제시한다.</x:v>
      </x:c>
      <x:c r="F9" s="74" t="str">
        <x:v>절대 within-arm 값만 제시하고 ‘주로’를 해석으로 단정한다.</x:v>
      </x:c>
      <x:c r="G9" s="74" t="str">
        <x:v>C15, 제6.2·6.6</x:v>
      </x:c>
      <x:c r="H9" s="74" t="str">
        <x:v>FROZEN</x:v>
      </x:c>
      <x:c r="I9" s="74"/>
      <x:c r="J9" s="74"/>
      <x:c r="K9" s="74"/>
      <x:c r="L9" s="74"/>
      <x:c r="M9" s="74"/>
      <x:c r="N9" s="74"/>
      <x:c r="O9" s="74"/>
      <x:c r="P9" s="74"/>
      <x:c r="Q9" s="74"/>
      <x:c r="R9" s="74"/>
      <x:c r="S9" s="74"/>
      <x:c r="T9" s="74"/>
      <x:c r="U9" s="74"/>
      <x:c r="V9" s="74"/>
    </x:row>
    <x:row r="10" ht="72" customHeight="1">
      <x:c r="A10" s="74" t="str">
        <x:v>D09</x:v>
      </x:c>
      <x:c r="B10" s="74" t="str">
        <x:v>C19 clipping 분모</x:v>
      </x:c>
      <x:c r="C10" s="74" t="str">
        <x:v>axis-bound clipping rate는 각 셀의 유효 기업 n 중 10개 축 하나 이상에서 hard-bound clipping이 발생한 기업의 비율이다.</x:v>
      </x:c>
      <x:c r="D10" s="74" t="str">
        <x:v>clipped-axis share 또는 응답 비율과 구분해야 예산계약 해석이 정확하다.</x:v>
      </x:c>
      <x:c r="E10" s="74" t="str">
        <x:v>Claim·표·캡션에 n과 ≥1 clipped axis 정의를 명시한다.</x:v>
      </x:c>
      <x:c r="F10" s="74" t="str">
        <x:v>분모 없이 clipping 48.17%·76.52%만 제시한다.</x:v>
      </x:c>
      <x:c r="G10" s="74" t="str">
        <x:v>C19, 제6.3.2</x:v>
      </x:c>
      <x:c r="H10" s="74" t="str">
        <x:v>FROZEN</x:v>
      </x:c>
      <x:c r="I10" s="74"/>
      <x:c r="J10" s="74"/>
      <x:c r="K10" s="74"/>
      <x:c r="L10" s="74"/>
      <x:c r="M10" s="74"/>
      <x:c r="N10" s="74"/>
      <x:c r="O10" s="74"/>
      <x:c r="P10" s="74"/>
      <x:c r="Q10" s="74"/>
      <x:c r="R10" s="74"/>
      <x:c r="S10" s="74"/>
      <x:c r="T10" s="74"/>
      <x:c r="U10" s="74"/>
      <x:c r="V10" s="74"/>
    </x:row>
    <x:row r="11" ht="72" customHeight="1">
      <x:c r="A11" s="74" t="str">
        <x:v>D10</x:v>
      </x:c>
      <x:c r="B11" s="74" t="str">
        <x:v>H1·H2의 3백엔드 범위</x:v>
      </x:c>
      <x:c r="C11" s="74" t="str">
        <x:v>사전명세 H1과 H2는 GPT-5.4-mini, GPT-4.1-mini, Haiku 4.5의 기존 자유작성 계약을 모두 포함한다.</x:v>
      </x:c>
      <x:c r="D11" s="74" t="str">
        <x:v>구 표 17·18과 동결 preregistration이 3백엔드 검정을 정의한다. E4 matched-budget QC는 별도 계약이다.</x:v>
      </x:c>
      <x:c r="E11" s="74" t="str">
        <x:v>C09·C26과 S12·S29에서 backend 열과 계약 라벨을 보존한다.</x:v>
      </x:c>
      <x:c r="F11" s="74" t="str">
        <x:v>GPT-5.4-mini 단독으로 축소하거나 E4 Haiku QC를 H1/H2에 소급 적용한다.</x:v>
      </x:c>
      <x:c r="G11" s="74" t="str">
        <x:v>C09, C26, RQ3, H1, H2, 제5.4절</x:v>
      </x:c>
      <x:c r="H11" s="74" t="str">
        <x:v>FROZEN</x:v>
      </x:c>
      <x:c r="I11" s="74"/>
      <x:c r="J11" s="74"/>
      <x:c r="K11" s="74"/>
      <x:c r="L11" s="74"/>
      <x:c r="M11" s="74"/>
      <x:c r="N11" s="74"/>
      <x:c r="O11" s="74"/>
      <x:c r="P11" s="74"/>
      <x:c r="Q11" s="74"/>
      <x:c r="R11" s="74"/>
      <x:c r="S11" s="74"/>
      <x:c r="T11" s="74"/>
      <x:c r="U11" s="74"/>
      <x:c r="V11" s="74"/>
    </x:row>
    <x:row r="12" ht="72" customHeight="1">
      <x:c r="A12" s="74" t="str">
        <x:v>D11</x:v>
      </x:c>
      <x:c r="B12" s="74" t="str">
        <x:v>본문 표·그림 16개 슬롯</x:v>
      </x:c>
      <x:c r="C12" s="74" t="str">
        <x:v>Claim별 25개 기능 ID를 본문 7개 그림·9개 표의 16개 final slots와 부록 슬롯으로 명시적으로 통합한다.</x:v>
      </x:c>
      <x:c r="D12" s="74" t="str">
        <x:v>다대일 병합을 문서화하지 않으면 집필 중 표·그림 수가 다시 팽창할 위험이 있다.</x:v>
      </x:c>
      <x:c r="E12" s="74" t="str">
        <x:v>Asset Map과 paper_display_registry가 final slot·panel·Claim·Source를 관리한다.</x:v>
      </x:c>
      <x:c r="F12" s="74" t="str">
        <x:v>기능 ID마다 별도 본문 표·그림을 생성하거나 16개 예산을 초과한다.</x:v>
      </x:c>
      <x:c r="G12" s="74" t="str">
        <x:v>Asset Map, Claim Map V열, Architecture §8</x:v>
      </x:c>
      <x:c r="H12" s="74" t="str">
        <x:v>FROZEN</x:v>
      </x:c>
      <x:c r="I12" s="74"/>
      <x:c r="J12" s="74"/>
      <x:c r="K12" s="74"/>
      <x:c r="L12" s="74"/>
      <x:c r="M12" s="74"/>
      <x:c r="N12" s="74"/>
      <x:c r="O12" s="74"/>
      <x:c r="P12" s="74"/>
      <x:c r="Q12" s="74"/>
      <x:c r="R12" s="74"/>
      <x:c r="S12" s="74"/>
      <x:c r="T12" s="74"/>
      <x:c r="U12" s="74"/>
      <x:c r="V12" s="74"/>
    </x:row>
    <x:row r="13" ht="72" customHeight="1">
      <x:c r="A13" s="74" t="str">
        <x:v>D12</x:v>
      </x:c>
      <x:c r="B13" s="74" t="str">
        <x:v>C28과 최종 manifest의 역할</x:v>
      </x:c>
      <x:c r="C13" s="74" t="str">
        <x:v>C28의 학술적·운영적 근거에서 S32를 제외하고, S32는 reviewer package의 runtime reproducibility status link로만 연결한다.</x:v>
      </x:c>
      <x:c r="D13" s="74" t="str">
        <x:v>최종 manifest는 통합 운영결론의 실증 근거가 아니라 재현 실행 상태를 증명한다.</x:v>
      </x:c>
      <x:c r="E13" s="74" t="str">
        <x:v>C28은 기존 실증 Source로 FROZEN 유지하고 S32는 비증거 runtime link로 표시한다.</x:v>
      </x:c>
      <x:c r="F13" s="74" t="str">
        <x:v>실행 전 생성되지 않은 S32 때문에 C28의 증거상태를 과도하게 낮추거나 manifest를 실증근거로 취급한다.</x:v>
      </x:c>
      <x:c r="G13" s="74" t="str">
        <x:v>C28, reviewer package, final manifest</x:v>
      </x:c>
      <x:c r="H13" s="74" t="str">
        <x:v>FROZEN</x:v>
      </x:c>
      <x:c r="I13" s="74"/>
      <x:c r="J13" s="74"/>
      <x:c r="K13" s="74"/>
      <x:c r="L13" s="74"/>
      <x:c r="M13" s="74"/>
      <x:c r="N13" s="74"/>
      <x:c r="O13" s="74"/>
      <x:c r="P13" s="74"/>
      <x:c r="Q13" s="74"/>
      <x:c r="R13" s="74"/>
      <x:c r="S13" s="74"/>
      <x:c r="T13" s="74"/>
      <x:c r="U13" s="74"/>
      <x:c r="V13" s="74"/>
    </x:row>
    <x:row r="14" ht="76" customHeight="1">
      <x:c r="A14" s="74" t="str">
        <x:v>D13</x:v>
      </x:c>
      <x:c r="B14" s="74" t="str">
        <x:v>공식 Claim class enum</x:v>
      </x:c>
      <x:c r="C14" s="74" t="str">
        <x:v>세 계약의 허용 class를 7개로 통일한다: BOUNDARY_OR_DESIGN_CONTRACT, PREREGISTERED, EXECUTION_FROZEN_EXTENSION, EVALUATOR_ONLY_POST_HOC, EXPLORATORY, QC_OR_PROTOCOL_AUDIT, INTEGRATED_OPERATIONAL_CONCLUSION.</x:v>
      </x:c>
      <x:c r="D14" s="74" t="str">
        <x:v>경계 Claim과 통합 운영결론을 실증 evidence class에 억지로 포함하지 않으면서 기계검증 enum을 일치시킨다.</x:v>
      </x:c>
      <x:c r="E14" s="74" t="str">
        <x:v>Excel의 한국어 표시값과 YAML 영문 enum 간 1:1 mapping을 둔다.</x:v>
      </x:c>
      <x:c r="F14" s="74" t="str">
        <x:v>Architecture는 5개, Claim Map은 7개처럼 계약별 허용값을 다르게 둔다.</x:v>
      </x:c>
      <x:c r="G14" s="74" t="str">
        <x:v>Claim Map N열, Architecture §5.4, code schema</x:v>
      </x:c>
      <x:c r="H14" s="74" t="str">
        <x:v>FROZEN</x:v>
      </x:c>
      <x:c r="I14" s="74"/>
      <x:c r="J14" s="74"/>
      <x:c r="K14" s="74"/>
      <x:c r="L14" s="74"/>
      <x:c r="M14" s="74"/>
      <x:c r="N14" s="74"/>
      <x:c r="O14" s="74"/>
      <x:c r="P14" s="74"/>
      <x:c r="Q14" s="74"/>
      <x:c r="R14" s="74"/>
      <x:c r="S14" s="74"/>
      <x:c r="T14" s="74"/>
      <x:c r="U14" s="74"/>
      <x:c r="V14" s="74"/>
    </x:row>
    <x:row r="15" ht="76" customHeight="1">
      <x:c r="A15" s="74" t="str">
        <x:v>D14</x:v>
      </x:c>
      <x:c r="B15" s="74" t="str">
        <x:v>CORE_COMPLETE와 COMPLETE</x:v>
      </x:c>
      <x:c r="C15" s="74" t="str">
        <x:v>CORE_COMPLETE는 P0 unresolved 0, COMPLETE는 28개 Claim 전부 source materialization·decision evaluation 완료 및 unresolved 0으로 구분한다.</x:v>
      </x:c>
      <x:c r="D15" s="74" t="str">
        <x:v>가설 미지지(NOT_SUPPORTED)는 완료된 판정이며 미완료(UNRESOLVED)와 다르다.</x:v>
      </x:c>
      <x:c r="E15" s="74" t="str">
        <x:v>최종 제출·심사 패키지는 COMPLETE만 사용한다.</x:v>
      </x:c>
      <x:c r="F15" s="74" t="str">
        <x:v>P0만 해결된 상태를 최종 COMPLETE로 표시한다.</x:v>
      </x:c>
      <x:c r="G15" s="74" t="str">
        <x:v>repro runner, reviewer package, final status</x:v>
      </x:c>
      <x:c r="H15" s="74" t="str">
        <x:v>FROZEN</x:v>
      </x:c>
      <x:c r="I15" s="74"/>
      <x:c r="J15" s="74"/>
      <x:c r="K15" s="74"/>
      <x:c r="L15" s="74"/>
      <x:c r="M15" s="74"/>
      <x:c r="N15" s="74"/>
      <x:c r="O15" s="74"/>
      <x:c r="P15" s="74"/>
      <x:c r="Q15" s="74"/>
      <x:c r="R15" s="74"/>
      <x:c r="S15" s="74"/>
      <x:c r="T15" s="74"/>
      <x:c r="U15" s="74"/>
      <x:c r="V15" s="74"/>
    </x:row>
    <x:row r="16" ht="76" customHeight="1">
      <x:c r="A16" s="74" t="str">
        <x:v>D15</x:v>
      </x:c>
      <x:c r="B16" s="74" t="str">
        <x:v>Git source immutability와 output allowlist</x:v>
      </x:c>
      <x:c r="C16" s="74" t="str">
        <x:v>실행 시작 시 tracked code·registry·frozen inputs의 clean source commit을 기록하고, 종료 시 해당 입력이 동일하며 변경은 data/reproduction/ allowlist에만 존재해야 한다.</x:v>
      </x:c>
      <x:c r="D16" s="74" t="str">
        <x:v>재현 산출물 생성 자체가 working tree를 dirty하게 만들 수 있어 전체 tree clean 조건은 순환을 만든다.</x:v>
      </x:c>
      <x:c r="E16" s="74" t="str">
        <x:v>결과 검증 후 별도 output-only release commit을 만들 수 있다.</x:v>
      </x:c>
      <x:c r="F16" s="74" t="str">
        <x:v>실행 종료 시 전체 working tree clean을 무조건 요구하거나 output commit을 source commit으로 재귀 갱신한다.</x:v>
      </x:c>
      <x:c r="G16" s="74" t="str">
        <x:v>FreezeBaseline, VerifyAll, release workflow</x:v>
      </x:c>
      <x:c r="H16" s="74" t="str">
        <x:v>FROZEN</x:v>
      </x:c>
      <x:c r="I16" s="74"/>
      <x:c r="J16" s="74"/>
      <x:c r="K16" s="74"/>
      <x:c r="L16" s="74"/>
      <x:c r="M16" s="74"/>
      <x:c r="N16" s="74"/>
      <x:c r="O16" s="74"/>
      <x:c r="P16" s="74"/>
      <x:c r="Q16" s="74"/>
      <x:c r="R16" s="74"/>
      <x:c r="S16" s="74"/>
      <x:c r="T16" s="74"/>
      <x:c r="U16" s="74"/>
      <x:c r="V16" s="74"/>
    </x:row>
    <x:row r="17">
      <x:c r="A17" s="74"/>
      <x:c r="B17" s="74"/>
      <x:c r="C17" s="74"/>
      <x:c r="D17" s="74"/>
      <x:c r="E17" s="74"/>
      <x:c r="F17" s="74"/>
      <x:c r="G17" s="74"/>
      <x:c r="H17" s="74"/>
      <x:c r="I17" s="74"/>
      <x:c r="J17" s="74"/>
      <x:c r="K17" s="74"/>
      <x:c r="L17" s="74"/>
      <x:c r="M17" s="74"/>
      <x:c r="N17" s="74"/>
      <x:c r="O17" s="74"/>
      <x:c r="P17" s="74"/>
      <x:c r="Q17" s="74"/>
      <x:c r="R17" s="74"/>
      <x:c r="S17" s="74"/>
      <x:c r="T17" s="74"/>
      <x:c r="U17" s="74"/>
      <x:c r="V17" s="74"/>
    </x:row>
    <x:row r="18">
      <x:c r="A18" s="74"/>
      <x:c r="B18" s="74"/>
      <x:c r="C18" s="74"/>
      <x:c r="D18" s="74"/>
      <x:c r="E18" s="74"/>
      <x:c r="F18" s="74"/>
      <x:c r="G18" s="74"/>
      <x:c r="H18" s="74"/>
      <x:c r="I18" s="74"/>
      <x:c r="J18" s="74"/>
      <x:c r="K18" s="74"/>
      <x:c r="L18" s="74"/>
      <x:c r="M18" s="74"/>
      <x:c r="N18" s="74"/>
      <x:c r="O18" s="74"/>
      <x:c r="P18" s="74"/>
      <x:c r="Q18" s="74"/>
      <x:c r="R18" s="74"/>
      <x:c r="S18" s="74"/>
      <x:c r="T18" s="74"/>
      <x:c r="U18" s="74"/>
      <x:c r="V18" s="74"/>
    </x:row>
    <x:row r="19">
      <x:c r="A19" s="74"/>
      <x:c r="B19" s="74"/>
      <x:c r="C19" s="74"/>
      <x:c r="D19" s="74"/>
      <x:c r="E19" s="74"/>
      <x:c r="F19" s="74"/>
      <x:c r="G19" s="74"/>
      <x:c r="H19" s="74"/>
      <x:c r="I19" s="74"/>
      <x:c r="J19" s="74"/>
      <x:c r="K19" s="74"/>
      <x:c r="L19" s="74"/>
      <x:c r="M19" s="74"/>
      <x:c r="N19" s="74"/>
      <x:c r="O19" s="74"/>
      <x:c r="P19" s="74"/>
      <x:c r="Q19" s="74"/>
      <x:c r="R19" s="74"/>
      <x:c r="S19" s="74"/>
      <x:c r="T19" s="74"/>
      <x:c r="U19" s="74"/>
      <x:c r="V19" s="74"/>
    </x:row>
    <x:row r="20">
      <x:c r="A20" s="74"/>
      <x:c r="B20" s="74"/>
      <x:c r="C20" s="74"/>
      <x:c r="D20" s="74"/>
      <x:c r="E20" s="74"/>
      <x:c r="F20" s="74"/>
      <x:c r="G20" s="74"/>
      <x:c r="H20" s="74"/>
      <x:c r="I20" s="74"/>
      <x:c r="J20" s="74"/>
      <x:c r="K20" s="74"/>
      <x:c r="L20" s="74"/>
      <x:c r="M20" s="74"/>
      <x:c r="N20" s="74"/>
      <x:c r="O20" s="74"/>
      <x:c r="P20" s="74"/>
      <x:c r="Q20" s="74"/>
      <x:c r="R20" s="74"/>
      <x:c r="S20" s="74"/>
      <x:c r="T20" s="74"/>
      <x:c r="U20" s="74"/>
      <x:c r="V20" s="74"/>
    </x:row>
    <x:row r="21">
      <x:c r="A21" s="74"/>
      <x:c r="B21" s="74"/>
      <x:c r="C21" s="74"/>
      <x:c r="D21" s="74"/>
      <x:c r="E21" s="74"/>
      <x:c r="F21" s="74"/>
      <x:c r="G21" s="74"/>
      <x:c r="H21" s="74"/>
      <x:c r="I21" s="74"/>
      <x:c r="J21" s="74"/>
      <x:c r="K21" s="74"/>
      <x:c r="L21" s="74"/>
      <x:c r="M21" s="74"/>
      <x:c r="N21" s="74"/>
      <x:c r="O21" s="74"/>
      <x:c r="P21" s="74"/>
      <x:c r="Q21" s="74"/>
      <x:c r="R21" s="74"/>
      <x:c r="S21" s="74"/>
      <x:c r="T21" s="74"/>
      <x:c r="U21" s="74"/>
      <x:c r="V21" s="74"/>
    </x:row>
    <x:row r="22">
      <x:c r="A22" s="74"/>
      <x:c r="B22" s="74"/>
      <x:c r="C22" s="74"/>
      <x:c r="D22" s="74"/>
      <x:c r="E22" s="74"/>
      <x:c r="F22" s="74"/>
      <x:c r="G22" s="74"/>
      <x:c r="H22" s="74"/>
      <x:c r="I22" s="74"/>
      <x:c r="J22" s="74"/>
      <x:c r="K22" s="74"/>
      <x:c r="L22" s="74"/>
      <x:c r="M22" s="74"/>
      <x:c r="N22" s="74"/>
      <x:c r="O22" s="74"/>
      <x:c r="P22" s="74"/>
      <x:c r="Q22" s="74"/>
      <x:c r="R22" s="74"/>
      <x:c r="S22" s="74"/>
      <x:c r="T22" s="74"/>
      <x:c r="U22" s="74"/>
      <x:c r="V22" s="74"/>
    </x:row>
    <x:row r="23">
      <x:c r="A23" s="74"/>
      <x:c r="B23" s="74"/>
      <x:c r="C23" s="74"/>
      <x:c r="D23" s="74"/>
      <x:c r="E23" s="74"/>
      <x:c r="F23" s="74"/>
      <x:c r="G23" s="74"/>
      <x:c r="H23" s="74"/>
      <x:c r="I23" s="74"/>
      <x:c r="J23" s="74"/>
      <x:c r="K23" s="74"/>
      <x:c r="L23" s="74"/>
      <x:c r="M23" s="74"/>
      <x:c r="N23" s="74"/>
      <x:c r="O23" s="74"/>
      <x:c r="P23" s="74"/>
      <x:c r="Q23" s="74"/>
      <x:c r="R23" s="74"/>
      <x:c r="S23" s="74"/>
      <x:c r="T23" s="74"/>
      <x:c r="U23" s="74"/>
      <x:c r="V23" s="74"/>
    </x:row>
    <x:row r="24">
      <x:c r="A24" s="74"/>
      <x:c r="B24" s="74"/>
      <x:c r="C24" s="74"/>
      <x:c r="D24" s="74"/>
      <x:c r="E24" s="74"/>
      <x:c r="F24" s="74"/>
      <x:c r="G24" s="74"/>
      <x:c r="H24" s="74"/>
      <x:c r="I24" s="74"/>
      <x:c r="J24" s="74"/>
      <x:c r="K24" s="74"/>
      <x:c r="L24" s="74"/>
      <x:c r="M24" s="74"/>
      <x:c r="N24" s="74"/>
      <x:c r="O24" s="74"/>
      <x:c r="P24" s="74"/>
      <x:c r="Q24" s="74"/>
      <x:c r="R24" s="74"/>
      <x:c r="S24" s="74"/>
      <x:c r="T24" s="74"/>
      <x:c r="U24" s="74"/>
      <x:c r="V24" s="74"/>
    </x:row>
    <x:row r="25">
      <x:c r="A25" s="74"/>
      <x:c r="B25" s="74"/>
      <x:c r="C25" s="74"/>
      <x:c r="D25" s="74"/>
      <x:c r="E25" s="74"/>
      <x:c r="F25" s="74"/>
      <x:c r="G25" s="74"/>
      <x:c r="H25" s="74"/>
      <x:c r="I25" s="74"/>
      <x:c r="J25" s="74"/>
      <x:c r="K25" s="74"/>
      <x:c r="L25" s="74"/>
      <x:c r="M25" s="74"/>
      <x:c r="N25" s="74"/>
      <x:c r="O25" s="74"/>
      <x:c r="P25" s="74"/>
      <x:c r="Q25" s="74"/>
      <x:c r="R25" s="74"/>
      <x:c r="S25" s="74"/>
      <x:c r="T25" s="74"/>
      <x:c r="U25" s="74"/>
      <x:c r="V25" s="74"/>
    </x:row>
    <x:row r="26">
      <x:c r="A26" s="74"/>
      <x:c r="B26" s="74"/>
      <x:c r="C26" s="74"/>
      <x:c r="D26" s="74"/>
      <x:c r="E26" s="74"/>
      <x:c r="F26" s="74"/>
      <x:c r="G26" s="74"/>
      <x:c r="H26" s="74"/>
      <x:c r="I26" s="74"/>
      <x:c r="J26" s="74"/>
      <x:c r="K26" s="74"/>
      <x:c r="L26" s="74"/>
      <x:c r="M26" s="74"/>
      <x:c r="N26" s="74"/>
      <x:c r="O26" s="74"/>
      <x:c r="P26" s="74"/>
      <x:c r="Q26" s="74"/>
      <x:c r="R26" s="74"/>
      <x:c r="S26" s="74"/>
      <x:c r="T26" s="74"/>
      <x:c r="U26" s="74"/>
      <x:c r="V26" s="74"/>
    </x:row>
    <x:row r="27">
      <x:c r="A27" s="74"/>
      <x:c r="B27" s="74"/>
      <x:c r="C27" s="74"/>
      <x:c r="D27" s="74"/>
      <x:c r="E27" s="74"/>
      <x:c r="F27" s="74"/>
      <x:c r="G27" s="74"/>
      <x:c r="H27" s="74"/>
      <x:c r="I27" s="74"/>
      <x:c r="J27" s="74"/>
      <x:c r="K27" s="74"/>
      <x:c r="L27" s="74"/>
      <x:c r="M27" s="74"/>
      <x:c r="N27" s="74"/>
      <x:c r="O27" s="74"/>
      <x:c r="P27" s="74"/>
      <x:c r="Q27" s="74"/>
      <x:c r="R27" s="74"/>
      <x:c r="S27" s="74"/>
      <x:c r="T27" s="74"/>
      <x:c r="U27" s="74"/>
      <x:c r="V27" s="74"/>
    </x:row>
    <x:row r="28">
      <x:c r="A28" s="74"/>
      <x:c r="B28" s="74"/>
      <x:c r="C28" s="74"/>
      <x:c r="D28" s="74"/>
      <x:c r="E28" s="74"/>
      <x:c r="F28" s="74"/>
      <x:c r="G28" s="74"/>
      <x:c r="H28" s="74"/>
      <x:c r="I28" s="74"/>
      <x:c r="J28" s="74"/>
      <x:c r="K28" s="74"/>
      <x:c r="L28" s="74"/>
      <x:c r="M28" s="74"/>
      <x:c r="N28" s="74"/>
      <x:c r="O28" s="74"/>
      <x:c r="P28" s="74"/>
      <x:c r="Q28" s="74"/>
      <x:c r="R28" s="74"/>
      <x:c r="S28" s="74"/>
      <x:c r="T28" s="74"/>
      <x:c r="U28" s="74"/>
      <x:c r="V28" s="74"/>
    </x:row>
    <x:row r="29">
      <x:c r="A29" s="74"/>
      <x:c r="B29" s="74"/>
      <x:c r="C29" s="74"/>
      <x:c r="D29" s="74"/>
      <x:c r="E29" s="74"/>
      <x:c r="F29" s="74"/>
      <x:c r="G29" s="74"/>
      <x:c r="H29" s="74"/>
      <x:c r="I29" s="74"/>
      <x:c r="J29" s="74"/>
      <x:c r="K29" s="74"/>
      <x:c r="L29" s="74"/>
      <x:c r="M29" s="74"/>
      <x:c r="N29" s="74"/>
      <x:c r="O29" s="74"/>
      <x:c r="P29" s="74"/>
      <x:c r="Q29" s="74"/>
      <x:c r="R29" s="74"/>
      <x:c r="S29" s="74"/>
      <x:c r="T29" s="74"/>
      <x:c r="U29" s="74"/>
      <x:c r="V29" s="74"/>
    </x:row>
    <x:row r="30">
      <x:c r="A30" s="74"/>
      <x:c r="B30" s="74"/>
      <x:c r="C30" s="74"/>
      <x:c r="D30" s="74"/>
      <x:c r="E30" s="74"/>
      <x:c r="F30" s="74"/>
      <x:c r="G30" s="74"/>
      <x:c r="H30" s="74"/>
      <x:c r="I30" s="74"/>
      <x:c r="J30" s="74"/>
      <x:c r="K30" s="74"/>
      <x:c r="L30" s="74"/>
      <x:c r="M30" s="74"/>
      <x:c r="N30" s="74"/>
      <x:c r="O30" s="74"/>
      <x:c r="P30" s="74"/>
      <x:c r="Q30" s="74"/>
      <x:c r="R30" s="74"/>
      <x:c r="S30" s="74"/>
      <x:c r="T30" s="74"/>
      <x:c r="U30" s="74"/>
      <x:c r="V30" s="74"/>
    </x:row>
    <x:row r="31">
      <x:c r="A31" s="74"/>
      <x:c r="B31" s="74"/>
      <x:c r="C31" s="74"/>
      <x:c r="D31" s="74"/>
      <x:c r="E31" s="74"/>
      <x:c r="F31" s="74"/>
      <x:c r="G31" s="74"/>
      <x:c r="H31" s="74"/>
      <x:c r="I31" s="74"/>
      <x:c r="J31" s="74"/>
      <x:c r="K31" s="74"/>
      <x:c r="L31" s="74"/>
      <x:c r="M31" s="74"/>
      <x:c r="N31" s="74"/>
      <x:c r="O31" s="74"/>
      <x:c r="P31" s="74"/>
      <x:c r="Q31" s="74"/>
      <x:c r="R31" s="74"/>
      <x:c r="S31" s="74"/>
      <x:c r="T31" s="74"/>
      <x:c r="U31" s="74"/>
      <x:c r="V31" s="74"/>
    </x:row>
    <x:row r="32">
      <x:c r="A32" s="74"/>
      <x:c r="B32" s="74"/>
      <x:c r="C32" s="74"/>
      <x:c r="D32" s="74"/>
      <x:c r="E32" s="74"/>
      <x:c r="F32" s="74"/>
      <x:c r="G32" s="74"/>
      <x:c r="H32" s="74"/>
      <x:c r="I32" s="74"/>
      <x:c r="J32" s="74"/>
      <x:c r="K32" s="74"/>
      <x:c r="L32" s="74"/>
      <x:c r="M32" s="74"/>
      <x:c r="N32" s="74"/>
      <x:c r="O32" s="74"/>
      <x:c r="P32" s="74"/>
      <x:c r="Q32" s="74"/>
      <x:c r="R32" s="74"/>
      <x:c r="S32" s="74"/>
      <x:c r="T32" s="74"/>
      <x:c r="U32" s="74"/>
      <x:c r="V32" s="74"/>
    </x:row>
    <x:row r="33">
      <x:c r="A33" s="74"/>
      <x:c r="B33" s="74"/>
      <x:c r="C33" s="74"/>
      <x:c r="D33" s="74"/>
      <x:c r="E33" s="74"/>
      <x:c r="F33" s="74"/>
      <x:c r="G33" s="74"/>
      <x:c r="H33" s="74"/>
      <x:c r="I33" s="74"/>
      <x:c r="J33" s="74"/>
      <x:c r="K33" s="74"/>
      <x:c r="L33" s="74"/>
      <x:c r="M33" s="74"/>
      <x:c r="N33" s="74"/>
      <x:c r="O33" s="74"/>
      <x:c r="P33" s="74"/>
      <x:c r="Q33" s="74"/>
      <x:c r="R33" s="74"/>
      <x:c r="S33" s="74"/>
      <x:c r="T33" s="74"/>
      <x:c r="U33" s="74"/>
      <x:c r="V33" s="74"/>
    </x:row>
    <x:row r="34">
      <x:c r="A34" s="74"/>
      <x:c r="B34" s="74"/>
      <x:c r="C34" s="74"/>
      <x:c r="D34" s="74"/>
      <x:c r="E34" s="74"/>
      <x:c r="F34" s="74"/>
      <x:c r="G34" s="74"/>
      <x:c r="H34" s="74"/>
      <x:c r="I34" s="74"/>
      <x:c r="J34" s="74"/>
      <x:c r="K34" s="74"/>
      <x:c r="L34" s="74"/>
      <x:c r="M34" s="74"/>
      <x:c r="N34" s="74"/>
      <x:c r="O34" s="74"/>
      <x:c r="P34" s="74"/>
      <x:c r="Q34" s="74"/>
      <x:c r="R34" s="74"/>
      <x:c r="S34" s="74"/>
      <x:c r="T34" s="74"/>
      <x:c r="U34" s="74"/>
      <x:c r="V34" s="74"/>
    </x:row>
    <x:row r="35">
      <x:c r="A35" s="74"/>
      <x:c r="B35" s="74"/>
      <x:c r="C35" s="74"/>
      <x:c r="D35" s="74"/>
      <x:c r="E35" s="74"/>
      <x:c r="F35" s="74"/>
      <x:c r="G35" s="74"/>
      <x:c r="H35" s="74"/>
      <x:c r="I35" s="74"/>
      <x:c r="J35" s="74"/>
      <x:c r="K35" s="74"/>
      <x:c r="L35" s="74"/>
      <x:c r="M35" s="74"/>
      <x:c r="N35" s="74"/>
      <x:c r="O35" s="74"/>
      <x:c r="P35" s="74"/>
      <x:c r="Q35" s="74"/>
      <x:c r="R35" s="74"/>
      <x:c r="S35" s="74"/>
      <x:c r="T35" s="74"/>
      <x:c r="U35" s="74"/>
      <x:c r="V35" s="74"/>
    </x:row>
    <x:row r="36">
      <x:c r="A36" s="74"/>
      <x:c r="B36" s="74"/>
      <x:c r="C36" s="74"/>
      <x:c r="D36" s="74"/>
      <x:c r="E36" s="74"/>
      <x:c r="F36" s="74"/>
      <x:c r="G36" s="74"/>
      <x:c r="H36" s="74"/>
      <x:c r="I36" s="74"/>
      <x:c r="J36" s="74"/>
      <x:c r="K36" s="74"/>
      <x:c r="L36" s="74"/>
      <x:c r="M36" s="74"/>
      <x:c r="N36" s="74"/>
      <x:c r="O36" s="74"/>
      <x:c r="P36" s="74"/>
      <x:c r="Q36" s="74"/>
      <x:c r="R36" s="74"/>
      <x:c r="S36" s="74"/>
      <x:c r="T36" s="74"/>
      <x:c r="U36" s="74"/>
      <x:c r="V36" s="74"/>
    </x:row>
    <x:row r="37">
      <x:c r="A37" s="74"/>
      <x:c r="B37" s="74"/>
      <x:c r="C37" s="74"/>
      <x:c r="D37" s="74"/>
      <x:c r="E37" s="74"/>
      <x:c r="F37" s="74"/>
      <x:c r="G37" s="74"/>
      <x:c r="H37" s="74"/>
      <x:c r="I37" s="74"/>
      <x:c r="J37" s="74"/>
      <x:c r="K37" s="74"/>
      <x:c r="L37" s="74"/>
      <x:c r="M37" s="74"/>
      <x:c r="N37" s="74"/>
      <x:c r="O37" s="74"/>
      <x:c r="P37" s="74"/>
      <x:c r="Q37" s="74"/>
      <x:c r="R37" s="74"/>
      <x:c r="S37" s="74"/>
      <x:c r="T37" s="74"/>
      <x:c r="U37" s="74"/>
      <x:c r="V37" s="74"/>
    </x:row>
    <x:row r="38">
      <x:c r="A38" s="74"/>
      <x:c r="B38" s="74"/>
      <x:c r="C38" s="74"/>
      <x:c r="D38" s="74"/>
      <x:c r="E38" s="74"/>
      <x:c r="F38" s="74"/>
      <x:c r="G38" s="74"/>
      <x:c r="H38" s="74"/>
      <x:c r="I38" s="74"/>
      <x:c r="J38" s="74"/>
      <x:c r="K38" s="74"/>
      <x:c r="L38" s="74"/>
      <x:c r="M38" s="74"/>
      <x:c r="N38" s="74"/>
      <x:c r="O38" s="74"/>
      <x:c r="P38" s="74"/>
      <x:c r="Q38" s="74"/>
      <x:c r="R38" s="74"/>
      <x:c r="S38" s="74"/>
      <x:c r="T38" s="74"/>
      <x:c r="U38" s="74"/>
      <x:c r="V38" s="74"/>
    </x:row>
    <x:row r="39">
      <x:c r="A39" s="74"/>
      <x:c r="B39" s="74"/>
      <x:c r="C39" s="74"/>
      <x:c r="D39" s="74"/>
      <x:c r="E39" s="74"/>
      <x:c r="F39" s="74"/>
      <x:c r="G39" s="74"/>
      <x:c r="H39" s="74"/>
      <x:c r="I39" s="74"/>
      <x:c r="J39" s="74"/>
      <x:c r="K39" s="74"/>
      <x:c r="L39" s="74"/>
      <x:c r="M39" s="74"/>
      <x:c r="N39" s="74"/>
      <x:c r="O39" s="74"/>
      <x:c r="P39" s="74"/>
      <x:c r="Q39" s="74"/>
      <x:c r="R39" s="74"/>
      <x:c r="S39" s="74"/>
      <x:c r="T39" s="74"/>
      <x:c r="U39" s="74"/>
      <x:c r="V39" s="74"/>
    </x:row>
    <x:row r="40">
      <x:c r="A40" s="74"/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4"/>
      <x:c r="T40" s="74"/>
      <x:c r="U40" s="74"/>
      <x:c r="V40" s="74"/>
    </x:row>
    <x:row r="41">
      <x:c r="A41" s="74"/>
      <x:c r="B41" s="74"/>
      <x:c r="C41" s="74"/>
      <x:c r="D41" s="74"/>
      <x:c r="E41" s="74"/>
      <x:c r="F41" s="74"/>
      <x:c r="G41" s="74"/>
      <x:c r="H41" s="74"/>
      <x:c r="I41" s="74"/>
      <x:c r="J41" s="74"/>
      <x:c r="K41" s="74"/>
      <x:c r="L41" s="74"/>
      <x:c r="M41" s="74"/>
      <x:c r="N41" s="74"/>
      <x:c r="O41" s="74"/>
      <x:c r="P41" s="74"/>
      <x:c r="Q41" s="74"/>
      <x:c r="R41" s="74"/>
      <x:c r="S41" s="74"/>
      <x:c r="T41" s="74"/>
      <x:c r="U41" s="74"/>
      <x:c r="V41" s="74"/>
    </x:row>
    <x:row r="42">
      <x:c r="A42" s="74"/>
      <x:c r="B42" s="74"/>
      <x:c r="C42" s="74"/>
      <x:c r="D42" s="74"/>
      <x:c r="E42" s="74"/>
      <x:c r="F42" s="74"/>
      <x:c r="G42" s="74"/>
      <x:c r="H42" s="74"/>
      <x:c r="I42" s="74"/>
      <x:c r="J42" s="74"/>
      <x:c r="K42" s="74"/>
      <x:c r="L42" s="74"/>
      <x:c r="M42" s="74"/>
      <x:c r="N42" s="74"/>
      <x:c r="O42" s="74"/>
      <x:c r="P42" s="74"/>
      <x:c r="Q42" s="74"/>
      <x:c r="R42" s="74"/>
      <x:c r="S42" s="74"/>
      <x:c r="T42" s="74"/>
      <x:c r="U42" s="74"/>
      <x:c r="V42" s="74"/>
    </x:row>
    <x:row r="43">
      <x:c r="A43" s="74"/>
      <x:c r="B43" s="74"/>
      <x:c r="C43" s="74"/>
      <x:c r="D43" s="74"/>
      <x:c r="E43" s="74"/>
      <x:c r="F43" s="74"/>
      <x:c r="G43" s="74"/>
      <x:c r="H43" s="74"/>
      <x:c r="I43" s="74"/>
      <x:c r="J43" s="74"/>
      <x:c r="K43" s="74"/>
      <x:c r="L43" s="74"/>
      <x:c r="M43" s="74"/>
      <x:c r="N43" s="74"/>
      <x:c r="O43" s="74"/>
      <x:c r="P43" s="74"/>
      <x:c r="Q43" s="74"/>
      <x:c r="R43" s="74"/>
      <x:c r="S43" s="74"/>
      <x:c r="T43" s="74"/>
      <x:c r="U43" s="74"/>
      <x:c r="V43" s="74"/>
    </x:row>
    <x:row r="44">
      <x:c r="A44" s="74"/>
      <x:c r="B44" s="74"/>
      <x:c r="C44" s="74"/>
      <x:c r="D44" s="74"/>
      <x:c r="E44" s="74"/>
      <x:c r="F44" s="74"/>
      <x:c r="G44" s="74"/>
      <x:c r="H44" s="74"/>
      <x:c r="I44" s="74"/>
      <x:c r="J44" s="74"/>
      <x:c r="K44" s="74"/>
      <x:c r="L44" s="74"/>
      <x:c r="M44" s="74"/>
      <x:c r="N44" s="74"/>
      <x:c r="O44" s="74"/>
      <x:c r="P44" s="74"/>
      <x:c r="Q44" s="74"/>
      <x:c r="R44" s="74"/>
      <x:c r="S44" s="74"/>
      <x:c r="T44" s="74"/>
      <x:c r="U44" s="74"/>
      <x:c r="V44" s="74"/>
    </x:row>
    <x:row r="45">
      <x:c r="A45" s="74"/>
      <x:c r="B45" s="74"/>
      <x:c r="C45" s="74"/>
      <x:c r="D45" s="74"/>
      <x:c r="E45" s="74"/>
      <x:c r="F45" s="74"/>
      <x:c r="G45" s="74"/>
      <x:c r="H45" s="74"/>
      <x:c r="I45" s="74"/>
      <x:c r="J45" s="74"/>
      <x:c r="K45" s="74"/>
      <x:c r="L45" s="74"/>
      <x:c r="M45" s="74"/>
      <x:c r="N45" s="74"/>
      <x:c r="O45" s="74"/>
      <x:c r="P45" s="74"/>
      <x:c r="Q45" s="74"/>
      <x:c r="R45" s="74"/>
      <x:c r="S45" s="74"/>
      <x:c r="T45" s="74"/>
      <x:c r="U45" s="74"/>
      <x:c r="V45" s="74"/>
    </x:row>
    <x:row r="46">
      <x:c r="A46" s="74"/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4"/>
      <x:c r="M46" s="74"/>
      <x:c r="N46" s="74"/>
      <x:c r="O46" s="74"/>
      <x:c r="P46" s="74"/>
      <x:c r="Q46" s="74"/>
      <x:c r="R46" s="74"/>
      <x:c r="S46" s="74"/>
      <x:c r="T46" s="74"/>
      <x:c r="U46" s="74"/>
      <x:c r="V46" s="74"/>
    </x:row>
    <x:row r="47">
      <x:c r="A47" s="74"/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4"/>
      <x:c r="M47" s="74"/>
      <x:c r="N47" s="74"/>
      <x:c r="O47" s="74"/>
      <x:c r="P47" s="74"/>
      <x:c r="Q47" s="74"/>
      <x:c r="R47" s="74"/>
      <x:c r="S47" s="74"/>
      <x:c r="T47" s="74"/>
      <x:c r="U47" s="74"/>
      <x:c r="V47" s="74"/>
    </x:row>
    <x:row r="48">
      <x:c r="A48" s="74"/>
      <x:c r="B48" s="74"/>
      <x:c r="C48" s="74"/>
      <x:c r="D48" s="74"/>
      <x:c r="E48" s="74"/>
      <x:c r="F48" s="74"/>
      <x:c r="G48" s="74"/>
      <x:c r="H48" s="74"/>
      <x:c r="I48" s="74"/>
      <x:c r="J48" s="74"/>
      <x:c r="K48" s="74"/>
      <x:c r="L48" s="74"/>
      <x:c r="M48" s="74"/>
      <x:c r="N48" s="74"/>
      <x:c r="O48" s="74"/>
      <x:c r="P48" s="74"/>
      <x:c r="Q48" s="74"/>
      <x:c r="R48" s="74"/>
      <x:c r="S48" s="74"/>
      <x:c r="T48" s="74"/>
      <x:c r="U48" s="74"/>
      <x:c r="V48" s="74"/>
    </x:row>
    <x:row r="49">
      <x:c r="A49" s="74"/>
      <x:c r="B49" s="74"/>
      <x:c r="C49" s="74"/>
      <x:c r="D49" s="74"/>
      <x:c r="E49" s="74"/>
      <x:c r="F49" s="74"/>
      <x:c r="G49" s="74"/>
      <x:c r="H49" s="74"/>
      <x:c r="I49" s="74"/>
      <x:c r="J49" s="74"/>
      <x:c r="K49" s="74"/>
      <x:c r="L49" s="74"/>
      <x:c r="M49" s="74"/>
      <x:c r="N49" s="74"/>
      <x:c r="O49" s="74"/>
      <x:c r="P49" s="74"/>
      <x:c r="Q49" s="74"/>
      <x:c r="R49" s="74"/>
      <x:c r="S49" s="74"/>
      <x:c r="T49" s="74"/>
      <x:c r="U49" s="74"/>
      <x:c r="V49" s="74"/>
    </x:row>
    <x:row r="50">
      <x:c r="A50" s="74"/>
      <x:c r="B50" s="74"/>
      <x:c r="C50" s="74"/>
      <x:c r="D50" s="74"/>
      <x:c r="E50" s="74"/>
      <x:c r="F50" s="74"/>
      <x:c r="G50" s="74"/>
      <x:c r="H50" s="74"/>
      <x:c r="I50" s="74"/>
      <x:c r="J50" s="74"/>
      <x:c r="K50" s="74"/>
      <x:c r="L50" s="74"/>
      <x:c r="M50" s="74"/>
      <x:c r="N50" s="74"/>
      <x:c r="O50" s="74"/>
      <x:c r="P50" s="74"/>
      <x:c r="Q50" s="74"/>
      <x:c r="R50" s="74"/>
      <x:c r="S50" s="74"/>
      <x:c r="T50" s="74"/>
      <x:c r="U50" s="74"/>
      <x:c r="V50" s="74"/>
    </x:row>
    <x:row r="51">
      <x:c r="A51" s="74"/>
      <x:c r="B51" s="74"/>
      <x:c r="C51" s="74"/>
      <x:c r="D51" s="74"/>
      <x:c r="E51" s="74"/>
      <x:c r="F51" s="74"/>
      <x:c r="G51" s="74"/>
      <x:c r="H51" s="74"/>
      <x:c r="I51" s="74"/>
      <x:c r="J51" s="74"/>
      <x:c r="K51" s="74"/>
      <x:c r="L51" s="74"/>
      <x:c r="M51" s="74"/>
      <x:c r="N51" s="74"/>
      <x:c r="O51" s="74"/>
      <x:c r="P51" s="74"/>
      <x:c r="Q51" s="74"/>
      <x:c r="R51" s="74"/>
      <x:c r="S51" s="74"/>
      <x:c r="T51" s="74"/>
      <x:c r="U51" s="74"/>
      <x:c r="V51" s="74"/>
    </x:row>
    <x:row r="52">
      <x:c r="A52" s="74"/>
      <x:c r="B52" s="74"/>
      <x:c r="C52" s="74"/>
      <x:c r="D52" s="74"/>
      <x:c r="E52" s="74"/>
      <x:c r="F52" s="74"/>
      <x:c r="G52" s="74"/>
      <x:c r="H52" s="74"/>
      <x:c r="I52" s="74"/>
      <x:c r="J52" s="74"/>
      <x:c r="K52" s="74"/>
      <x:c r="L52" s="74"/>
      <x:c r="M52" s="74"/>
      <x:c r="N52" s="74"/>
      <x:c r="O52" s="74"/>
      <x:c r="P52" s="74"/>
      <x:c r="Q52" s="74"/>
      <x:c r="R52" s="74"/>
      <x:c r="S52" s="74"/>
      <x:c r="T52" s="74"/>
      <x:c r="U52" s="74"/>
      <x:c r="V52" s="74"/>
    </x:row>
    <x:row r="53">
      <x:c r="A53" s="74"/>
      <x:c r="B53" s="74"/>
      <x:c r="C53" s="74"/>
      <x:c r="D53" s="74"/>
      <x:c r="E53" s="74"/>
      <x:c r="F53" s="74"/>
      <x:c r="G53" s="74"/>
      <x:c r="H53" s="74"/>
      <x:c r="I53" s="74"/>
      <x:c r="J53" s="74"/>
      <x:c r="K53" s="74"/>
      <x:c r="L53" s="74"/>
      <x:c r="M53" s="74"/>
      <x:c r="N53" s="74"/>
      <x:c r="O53" s="74"/>
      <x:c r="P53" s="74"/>
      <x:c r="Q53" s="74"/>
      <x:c r="R53" s="74"/>
      <x:c r="S53" s="74"/>
      <x:c r="T53" s="74"/>
      <x:c r="U53" s="74"/>
      <x:c r="V53" s="74"/>
    </x:row>
    <x:row r="54">
      <x:c r="A54" s="74"/>
      <x:c r="B54" s="74"/>
      <x:c r="C54" s="74"/>
      <x:c r="D54" s="74"/>
      <x:c r="E54" s="74"/>
      <x:c r="F54" s="74"/>
      <x:c r="G54" s="74"/>
      <x:c r="H54" s="74"/>
      <x:c r="I54" s="74"/>
      <x:c r="J54" s="74"/>
      <x:c r="K54" s="74"/>
      <x:c r="L54" s="74"/>
      <x:c r="M54" s="74"/>
      <x:c r="N54" s="74"/>
      <x:c r="O54" s="74"/>
      <x:c r="P54" s="74"/>
      <x:c r="Q54" s="74"/>
      <x:c r="R54" s="74"/>
      <x:c r="S54" s="74"/>
      <x:c r="T54" s="74"/>
      <x:c r="U54" s="74"/>
      <x:c r="V54" s="74"/>
    </x:row>
    <x:row r="55">
      <x:c r="A55" s="74"/>
      <x:c r="B55" s="74"/>
      <x:c r="C55" s="74"/>
      <x:c r="D55" s="74"/>
      <x:c r="E55" s="74"/>
      <x:c r="F55" s="74"/>
      <x:c r="G55" s="74"/>
      <x:c r="H55" s="74"/>
      <x:c r="I55" s="74"/>
      <x:c r="J55" s="74"/>
      <x:c r="K55" s="74"/>
      <x:c r="L55" s="74"/>
      <x:c r="M55" s="74"/>
      <x:c r="N55" s="74"/>
      <x:c r="O55" s="74"/>
      <x:c r="P55" s="74"/>
      <x:c r="Q55" s="74"/>
      <x:c r="R55" s="74"/>
      <x:c r="S55" s="74"/>
      <x:c r="T55" s="74"/>
      <x:c r="U55" s="74"/>
      <x:c r="V55" s="74"/>
    </x:row>
    <x:row r="56">
      <x:c r="A56" s="74"/>
      <x:c r="B56" s="74"/>
      <x:c r="C56" s="74"/>
      <x:c r="D56" s="74"/>
      <x:c r="E56" s="74"/>
      <x:c r="F56" s="74"/>
      <x:c r="G56" s="74"/>
      <x:c r="H56" s="74"/>
      <x:c r="I56" s="74"/>
      <x:c r="J56" s="74"/>
      <x:c r="K56" s="74"/>
      <x:c r="L56" s="74"/>
      <x:c r="M56" s="74"/>
      <x:c r="N56" s="74"/>
      <x:c r="O56" s="74"/>
      <x:c r="P56" s="74"/>
      <x:c r="Q56" s="74"/>
      <x:c r="R56" s="74"/>
      <x:c r="S56" s="74"/>
      <x:c r="T56" s="74"/>
      <x:c r="U56" s="74"/>
      <x:c r="V56" s="74"/>
    </x:row>
    <x:row r="57">
      <x:c r="A57" s="74"/>
      <x:c r="B57" s="74"/>
      <x:c r="C57" s="74"/>
      <x:c r="D57" s="74"/>
      <x:c r="E57" s="74"/>
      <x:c r="F57" s="74"/>
      <x:c r="G57" s="74"/>
      <x:c r="H57" s="74"/>
      <x:c r="I57" s="74"/>
      <x:c r="J57" s="74"/>
      <x:c r="K57" s="74"/>
      <x:c r="L57" s="74"/>
      <x:c r="M57" s="74"/>
      <x:c r="N57" s="74"/>
      <x:c r="O57" s="74"/>
      <x:c r="P57" s="74"/>
      <x:c r="Q57" s="74"/>
      <x:c r="R57" s="74"/>
      <x:c r="S57" s="74"/>
      <x:c r="T57" s="74"/>
      <x:c r="U57" s="74"/>
      <x:c r="V57" s="74"/>
    </x:row>
    <x:row r="58">
      <x:c r="A58" s="74"/>
      <x:c r="B58" s="74"/>
      <x:c r="C58" s="74"/>
      <x:c r="D58" s="74"/>
      <x:c r="E58" s="74"/>
      <x:c r="F58" s="74"/>
      <x:c r="G58" s="74"/>
      <x:c r="H58" s="74"/>
      <x:c r="I58" s="74"/>
      <x:c r="J58" s="74"/>
      <x:c r="K58" s="74"/>
      <x:c r="L58" s="74"/>
      <x:c r="M58" s="74"/>
      <x:c r="N58" s="74"/>
      <x:c r="O58" s="74"/>
      <x:c r="P58" s="74"/>
      <x:c r="Q58" s="74"/>
      <x:c r="R58" s="74"/>
      <x:c r="S58" s="74"/>
      <x:c r="T58" s="74"/>
      <x:c r="U58" s="74"/>
      <x:c r="V58" s="74"/>
    </x:row>
    <x:row r="59">
      <x:c r="A59" s="74"/>
      <x:c r="B59" s="74"/>
      <x:c r="C59" s="74"/>
      <x:c r="D59" s="74"/>
      <x:c r="E59" s="74"/>
      <x:c r="F59" s="74"/>
      <x:c r="G59" s="74"/>
      <x:c r="H59" s="74"/>
      <x:c r="I59" s="74"/>
      <x:c r="J59" s="74"/>
      <x:c r="K59" s="74"/>
      <x:c r="L59" s="74"/>
      <x:c r="M59" s="74"/>
      <x:c r="N59" s="74"/>
      <x:c r="O59" s="74"/>
      <x:c r="P59" s="74"/>
      <x:c r="Q59" s="74"/>
      <x:c r="R59" s="74"/>
      <x:c r="S59" s="74"/>
      <x:c r="T59" s="74"/>
      <x:c r="U59" s="74"/>
      <x:c r="V59" s="74"/>
    </x:row>
    <x:row r="60">
      <x:c r="A60" s="74"/>
      <x:c r="B60" s="74"/>
      <x:c r="C60" s="74"/>
      <x:c r="D60" s="74"/>
      <x:c r="E60" s="74"/>
      <x:c r="F60" s="74"/>
      <x:c r="G60" s="74"/>
      <x:c r="H60" s="74"/>
      <x:c r="I60" s="74"/>
      <x:c r="J60" s="74"/>
      <x:c r="K60" s="74"/>
      <x:c r="L60" s="74"/>
      <x:c r="M60" s="74"/>
      <x:c r="N60" s="74"/>
      <x:c r="O60" s="74"/>
      <x:c r="P60" s="74"/>
      <x:c r="Q60" s="74"/>
      <x:c r="R60" s="74"/>
      <x:c r="S60" s="74"/>
      <x:c r="T60" s="74"/>
      <x:c r="U60" s="74"/>
      <x:c r="V60" s="74"/>
    </x:row>
    <x:row r="61">
      <x:c r="A61" s="74"/>
      <x:c r="B61" s="74"/>
      <x:c r="C61" s="74"/>
      <x:c r="D61" s="74"/>
      <x:c r="E61" s="74"/>
      <x:c r="F61" s="74"/>
      <x:c r="G61" s="74"/>
      <x:c r="H61" s="74"/>
      <x:c r="I61" s="74"/>
      <x:c r="J61" s="74"/>
      <x:c r="K61" s="74"/>
      <x:c r="L61" s="74"/>
      <x:c r="M61" s="74"/>
      <x:c r="N61" s="74"/>
      <x:c r="O61" s="74"/>
      <x:c r="P61" s="74"/>
      <x:c r="Q61" s="74"/>
      <x:c r="R61" s="74"/>
      <x:c r="S61" s="74"/>
      <x:c r="T61" s="74"/>
      <x:c r="U61" s="74"/>
      <x:c r="V61" s="74"/>
    </x:row>
    <x:row r="62">
      <x:c r="A62" s="74"/>
      <x:c r="B62" s="74"/>
      <x:c r="C62" s="74"/>
      <x:c r="D62" s="74"/>
      <x:c r="E62" s="74"/>
      <x:c r="F62" s="74"/>
      <x:c r="G62" s="74"/>
      <x:c r="H62" s="74"/>
      <x:c r="I62" s="74"/>
      <x:c r="J62" s="74"/>
      <x:c r="K62" s="74"/>
      <x:c r="L62" s="74"/>
      <x:c r="M62" s="74"/>
      <x:c r="N62" s="74"/>
      <x:c r="O62" s="74"/>
      <x:c r="P62" s="74"/>
      <x:c r="Q62" s="74"/>
      <x:c r="R62" s="74"/>
      <x:c r="S62" s="74"/>
      <x:c r="T62" s="74"/>
      <x:c r="U62" s="74"/>
      <x:c r="V62" s="74"/>
    </x:row>
    <x:row r="63">
      <x:c r="A63" s="74"/>
      <x:c r="B63" s="74"/>
      <x:c r="C63" s="74"/>
      <x:c r="D63" s="74"/>
      <x:c r="E63" s="74"/>
      <x:c r="F63" s="74"/>
      <x:c r="G63" s="74"/>
      <x:c r="H63" s="74"/>
      <x:c r="I63" s="74"/>
      <x:c r="J63" s="74"/>
      <x:c r="K63" s="74"/>
      <x:c r="L63" s="74"/>
      <x:c r="M63" s="74"/>
      <x:c r="N63" s="74"/>
      <x:c r="O63" s="74"/>
      <x:c r="P63" s="74"/>
      <x:c r="Q63" s="74"/>
      <x:c r="R63" s="74"/>
      <x:c r="S63" s="74"/>
      <x:c r="T63" s="74"/>
      <x:c r="U63" s="74"/>
      <x:c r="V63" s="74"/>
    </x:row>
    <x:row r="64">
      <x:c r="A64" s="74"/>
      <x:c r="B64" s="74"/>
      <x:c r="C64" s="74"/>
      <x:c r="D64" s="74"/>
      <x:c r="E64" s="74"/>
      <x:c r="F64" s="74"/>
      <x:c r="G64" s="74"/>
      <x:c r="H64" s="74"/>
      <x:c r="I64" s="74"/>
      <x:c r="J64" s="74"/>
      <x:c r="K64" s="74"/>
      <x:c r="L64" s="74"/>
      <x:c r="M64" s="74"/>
      <x:c r="N64" s="74"/>
      <x:c r="O64" s="74"/>
      <x:c r="P64" s="74"/>
      <x:c r="Q64" s="74"/>
      <x:c r="R64" s="74"/>
      <x:c r="S64" s="74"/>
      <x:c r="T64" s="74"/>
      <x:c r="U64" s="74"/>
      <x:c r="V64" s="74"/>
    </x:row>
    <x:row r="65">
      <x:c r="A65" s="74"/>
      <x:c r="B65" s="74"/>
      <x:c r="C65" s="74"/>
      <x:c r="D65" s="74"/>
      <x:c r="E65" s="74"/>
      <x:c r="F65" s="74"/>
      <x:c r="G65" s="74"/>
      <x:c r="H65" s="74"/>
      <x:c r="I65" s="74"/>
      <x:c r="J65" s="74"/>
      <x:c r="K65" s="74"/>
      <x:c r="L65" s="74"/>
      <x:c r="M65" s="74"/>
      <x:c r="N65" s="74"/>
      <x:c r="O65" s="74"/>
      <x:c r="P65" s="74"/>
      <x:c r="Q65" s="74"/>
      <x:c r="R65" s="74"/>
      <x:c r="S65" s="74"/>
      <x:c r="T65" s="74"/>
      <x:c r="U65" s="74"/>
      <x:c r="V65" s="74"/>
    </x:row>
    <x:row r="66">
      <x:c r="A66" s="74"/>
      <x:c r="B66" s="74"/>
      <x:c r="C66" s="74"/>
      <x:c r="D66" s="74"/>
      <x:c r="E66" s="74"/>
      <x:c r="F66" s="74"/>
      <x:c r="G66" s="74"/>
      <x:c r="H66" s="74"/>
      <x:c r="I66" s="74"/>
      <x:c r="J66" s="74"/>
      <x:c r="K66" s="74"/>
      <x:c r="L66" s="74"/>
      <x:c r="M66" s="74"/>
      <x:c r="N66" s="74"/>
      <x:c r="O66" s="74"/>
      <x:c r="P66" s="74"/>
      <x:c r="Q66" s="74"/>
      <x:c r="R66" s="74"/>
      <x:c r="S66" s="74"/>
      <x:c r="T66" s="74"/>
      <x:c r="U66" s="74"/>
      <x:c r="V66" s="74"/>
    </x:row>
    <x:row r="67">
      <x:c r="A67" s="74"/>
      <x:c r="B67" s="74"/>
      <x:c r="C67" s="74"/>
      <x:c r="D67" s="74"/>
      <x:c r="E67" s="74"/>
      <x:c r="F67" s="74"/>
      <x:c r="G67" s="74"/>
      <x:c r="H67" s="74"/>
      <x:c r="I67" s="74"/>
      <x:c r="J67" s="74"/>
      <x:c r="K67" s="74"/>
      <x:c r="L67" s="74"/>
      <x:c r="M67" s="74"/>
      <x:c r="N67" s="74"/>
      <x:c r="O67" s="74"/>
      <x:c r="P67" s="74"/>
      <x:c r="Q67" s="74"/>
      <x:c r="R67" s="74"/>
      <x:c r="S67" s="74"/>
      <x:c r="T67" s="74"/>
      <x:c r="U67" s="74"/>
      <x:c r="V67" s="74"/>
    </x:row>
    <x:row r="68">
      <x:c r="A68" s="74"/>
      <x:c r="B68" s="74"/>
      <x:c r="C68" s="74"/>
      <x:c r="D68" s="74"/>
      <x:c r="E68" s="74"/>
      <x:c r="F68" s="74"/>
      <x:c r="G68" s="74"/>
      <x:c r="H68" s="74"/>
      <x:c r="I68" s="74"/>
      <x:c r="J68" s="74"/>
      <x:c r="K68" s="74"/>
      <x:c r="L68" s="74"/>
      <x:c r="M68" s="74"/>
      <x:c r="N68" s="74"/>
      <x:c r="O68" s="74"/>
      <x:c r="P68" s="74"/>
      <x:c r="Q68" s="74"/>
      <x:c r="R68" s="74"/>
      <x:c r="S68" s="74"/>
      <x:c r="T68" s="74"/>
      <x:c r="U68" s="74"/>
      <x:c r="V68" s="74"/>
    </x:row>
    <x:row r="69">
      <x:c r="A69" s="74"/>
      <x:c r="B69" s="74"/>
      <x:c r="C69" s="74"/>
      <x:c r="D69" s="74"/>
      <x:c r="E69" s="74"/>
      <x:c r="F69" s="74"/>
      <x:c r="G69" s="74"/>
      <x:c r="H69" s="74"/>
      <x:c r="I69" s="74"/>
      <x:c r="J69" s="74"/>
      <x:c r="K69" s="74"/>
      <x:c r="L69" s="74"/>
      <x:c r="M69" s="74"/>
      <x:c r="N69" s="74"/>
      <x:c r="O69" s="74"/>
      <x:c r="P69" s="74"/>
      <x:c r="Q69" s="74"/>
      <x:c r="R69" s="74"/>
      <x:c r="S69" s="74"/>
      <x:c r="T69" s="74"/>
      <x:c r="U69" s="74"/>
      <x:c r="V69" s="74"/>
    </x:row>
    <x:row r="70">
      <x:c r="A70" s="74"/>
      <x:c r="B70" s="74"/>
      <x:c r="C70" s="74"/>
      <x:c r="D70" s="74"/>
      <x:c r="E70" s="74"/>
      <x:c r="F70" s="74"/>
      <x:c r="G70" s="74"/>
      <x:c r="H70" s="74"/>
      <x:c r="I70" s="74"/>
      <x:c r="J70" s="74"/>
      <x:c r="K70" s="74"/>
      <x:c r="L70" s="74"/>
      <x:c r="M70" s="74"/>
      <x:c r="N70" s="74"/>
      <x:c r="O70" s="74"/>
      <x:c r="P70" s="74"/>
      <x:c r="Q70" s="74"/>
      <x:c r="R70" s="74"/>
      <x:c r="S70" s="74"/>
      <x:c r="T70" s="74"/>
      <x:c r="U70" s="74"/>
      <x:c r="V70" s="74"/>
    </x:row>
    <x:row r="71">
      <x:c r="A71" s="74"/>
      <x:c r="B71" s="74"/>
      <x:c r="C71" s="74"/>
      <x:c r="D71" s="74"/>
      <x:c r="E71" s="74"/>
      <x:c r="F71" s="74"/>
      <x:c r="G71" s="74"/>
      <x:c r="H71" s="74"/>
      <x:c r="I71" s="74"/>
      <x:c r="J71" s="74"/>
      <x:c r="K71" s="74"/>
      <x:c r="L71" s="74"/>
      <x:c r="M71" s="74"/>
      <x:c r="N71" s="74"/>
      <x:c r="O71" s="74"/>
      <x:c r="P71" s="74"/>
      <x:c r="Q71" s="74"/>
      <x:c r="R71" s="74"/>
      <x:c r="S71" s="74"/>
      <x:c r="T71" s="74"/>
      <x:c r="U71" s="74"/>
      <x:c r="V71" s="74"/>
    </x:row>
    <x:row r="72">
      <x:c r="A72" s="74"/>
      <x:c r="B72" s="74"/>
      <x:c r="C72" s="74"/>
      <x:c r="D72" s="74"/>
      <x:c r="E72" s="74"/>
      <x:c r="F72" s="74"/>
      <x:c r="G72" s="74"/>
      <x:c r="H72" s="74"/>
      <x:c r="I72" s="74"/>
      <x:c r="J72" s="74"/>
      <x:c r="K72" s="74"/>
      <x:c r="L72" s="74"/>
      <x:c r="M72" s="74"/>
      <x:c r="N72" s="74"/>
      <x:c r="O72" s="74"/>
      <x:c r="P72" s="74"/>
      <x:c r="Q72" s="74"/>
      <x:c r="R72" s="74"/>
      <x:c r="S72" s="74"/>
      <x:c r="T72" s="74"/>
      <x:c r="U72" s="74"/>
      <x:c r="V72" s="74"/>
    </x:row>
    <x:row r="73">
      <x:c r="A73" s="74"/>
      <x:c r="B73" s="74"/>
      <x:c r="C73" s="74"/>
      <x:c r="D73" s="74"/>
      <x:c r="E73" s="74"/>
      <x:c r="F73" s="74"/>
      <x:c r="G73" s="74"/>
      <x:c r="H73" s="74"/>
      <x:c r="I73" s="74"/>
      <x:c r="J73" s="74"/>
      <x:c r="K73" s="74"/>
      <x:c r="L73" s="74"/>
      <x:c r="M73" s="74"/>
      <x:c r="N73" s="74"/>
      <x:c r="O73" s="74"/>
      <x:c r="P73" s="74"/>
      <x:c r="Q73" s="74"/>
      <x:c r="R73" s="74"/>
      <x:c r="S73" s="74"/>
      <x:c r="T73" s="74"/>
      <x:c r="U73" s="74"/>
      <x:c r="V73" s="74"/>
    </x:row>
    <x:row r="74">
      <x:c r="A74" s="74"/>
      <x:c r="B74" s="74"/>
      <x:c r="C74" s="74"/>
      <x:c r="D74" s="74"/>
      <x:c r="E74" s="74"/>
      <x:c r="F74" s="74"/>
      <x:c r="G74" s="74"/>
      <x:c r="H74" s="74"/>
      <x:c r="I74" s="74"/>
      <x:c r="J74" s="74"/>
      <x:c r="K74" s="74"/>
      <x:c r="L74" s="74"/>
      <x:c r="M74" s="74"/>
      <x:c r="N74" s="74"/>
      <x:c r="O74" s="74"/>
      <x:c r="P74" s="74"/>
      <x:c r="Q74" s="74"/>
      <x:c r="R74" s="74"/>
      <x:c r="S74" s="74"/>
      <x:c r="T74" s="74"/>
      <x:c r="U74" s="74"/>
      <x:c r="V74" s="74"/>
    </x:row>
    <x:row r="75">
      <x:c r="A75" s="74"/>
      <x:c r="B75" s="74"/>
      <x:c r="C75" s="74"/>
      <x:c r="D75" s="74"/>
      <x:c r="E75" s="74"/>
      <x:c r="F75" s="74"/>
      <x:c r="G75" s="74"/>
      <x:c r="H75" s="74"/>
      <x:c r="I75" s="74"/>
      <x:c r="J75" s="74"/>
      <x:c r="K75" s="74"/>
      <x:c r="L75" s="74"/>
      <x:c r="M75" s="74"/>
      <x:c r="N75" s="74"/>
      <x:c r="O75" s="74"/>
      <x:c r="P75" s="74"/>
      <x:c r="Q75" s="74"/>
      <x:c r="R75" s="74"/>
      <x:c r="S75" s="74"/>
      <x:c r="T75" s="74"/>
      <x:c r="U75" s="74"/>
      <x:c r="V75" s="74"/>
    </x:row>
    <x:row r="76">
      <x:c r="A76" s="74"/>
      <x:c r="B76" s="74"/>
      <x:c r="C76" s="74"/>
      <x:c r="D76" s="74"/>
      <x:c r="E76" s="74"/>
      <x:c r="F76" s="74"/>
      <x:c r="G76" s="74"/>
      <x:c r="H76" s="74"/>
      <x:c r="I76" s="74"/>
      <x:c r="J76" s="74"/>
      <x:c r="K76" s="74"/>
      <x:c r="L76" s="74"/>
      <x:c r="M76" s="74"/>
      <x:c r="N76" s="74"/>
      <x:c r="O76" s="74"/>
      <x:c r="P76" s="74"/>
      <x:c r="Q76" s="74"/>
      <x:c r="R76" s="74"/>
      <x:c r="S76" s="74"/>
      <x:c r="T76" s="74"/>
      <x:c r="U76" s="74"/>
      <x:c r="V76" s="74"/>
    </x:row>
    <x:row r="77">
      <x:c r="A77" s="74"/>
      <x:c r="B77" s="74"/>
      <x:c r="C77" s="74"/>
      <x:c r="D77" s="74"/>
      <x:c r="E77" s="74"/>
      <x:c r="F77" s="74"/>
      <x:c r="G77" s="74"/>
      <x:c r="H77" s="74"/>
      <x:c r="I77" s="74"/>
      <x:c r="J77" s="74"/>
      <x:c r="K77" s="74"/>
      <x:c r="L77" s="74"/>
      <x:c r="M77" s="74"/>
      <x:c r="N77" s="74"/>
      <x:c r="O77" s="74"/>
      <x:c r="P77" s="74"/>
      <x:c r="Q77" s="74"/>
      <x:c r="R77" s="74"/>
      <x:c r="S77" s="74"/>
      <x:c r="T77" s="74"/>
      <x:c r="U77" s="74"/>
      <x:c r="V77" s="74"/>
    </x:row>
    <x:row r="78">
      <x:c r="A78" s="74"/>
      <x:c r="B78" s="74"/>
      <x:c r="C78" s="74"/>
      <x:c r="D78" s="74"/>
      <x:c r="E78" s="74"/>
      <x:c r="F78" s="74"/>
      <x:c r="G78" s="74"/>
      <x:c r="H78" s="74"/>
      <x:c r="I78" s="74"/>
      <x:c r="J78" s="74"/>
      <x:c r="K78" s="74"/>
      <x:c r="L78" s="74"/>
      <x:c r="M78" s="74"/>
      <x:c r="N78" s="74"/>
      <x:c r="O78" s="74"/>
      <x:c r="P78" s="74"/>
      <x:c r="Q78" s="74"/>
      <x:c r="R78" s="74"/>
      <x:c r="S78" s="74"/>
      <x:c r="T78" s="74"/>
      <x:c r="U78" s="74"/>
      <x:c r="V78" s="74"/>
    </x:row>
    <x:row r="79">
      <x:c r="A79" s="74"/>
      <x:c r="B79" s="74"/>
      <x:c r="C79" s="74"/>
      <x:c r="D79" s="74"/>
      <x:c r="E79" s="74"/>
      <x:c r="F79" s="74"/>
      <x:c r="G79" s="74"/>
      <x:c r="H79" s="74"/>
      <x:c r="I79" s="74"/>
      <x:c r="J79" s="74"/>
      <x:c r="K79" s="74"/>
      <x:c r="L79" s="74"/>
      <x:c r="M79" s="74"/>
      <x:c r="N79" s="74"/>
      <x:c r="O79" s="74"/>
      <x:c r="P79" s="74"/>
      <x:c r="Q79" s="74"/>
      <x:c r="R79" s="74"/>
      <x:c r="S79" s="74"/>
      <x:c r="T79" s="74"/>
      <x:c r="U79" s="74"/>
      <x:c r="V79" s="74"/>
    </x:row>
    <x:row r="80">
      <x:c r="A80" s="74"/>
      <x:c r="B80" s="74"/>
      <x:c r="C80" s="74"/>
      <x:c r="D80" s="74"/>
      <x:c r="E80" s="74"/>
      <x:c r="F80" s="74"/>
      <x:c r="G80" s="74"/>
      <x:c r="H80" s="74"/>
      <x:c r="I80" s="74"/>
      <x:c r="J80" s="74"/>
      <x:c r="K80" s="74"/>
      <x:c r="L80" s="74"/>
      <x:c r="M80" s="74"/>
      <x:c r="N80" s="74"/>
      <x:c r="O80" s="74"/>
      <x:c r="P80" s="74"/>
      <x:c r="Q80" s="74"/>
      <x:c r="R80" s="74"/>
      <x:c r="S80" s="74"/>
      <x:c r="T80" s="74"/>
      <x:c r="U80" s="74"/>
      <x:c r="V80" s="74"/>
    </x:row>
    <x:row r="81">
      <x:c r="A81" s="74"/>
      <x:c r="B81" s="74"/>
      <x:c r="C81" s="74"/>
      <x:c r="D81" s="74"/>
      <x:c r="E81" s="74"/>
      <x:c r="F81" s="74"/>
      <x:c r="G81" s="74"/>
      <x:c r="H81" s="74"/>
      <x:c r="I81" s="74"/>
      <x:c r="J81" s="74"/>
      <x:c r="K81" s="74"/>
      <x:c r="L81" s="74"/>
      <x:c r="M81" s="74"/>
      <x:c r="N81" s="74"/>
      <x:c r="O81" s="74"/>
      <x:c r="P81" s="74"/>
      <x:c r="Q81" s="74"/>
      <x:c r="R81" s="74"/>
      <x:c r="S81" s="74"/>
      <x:c r="T81" s="74"/>
      <x:c r="U81" s="74"/>
      <x:c r="V81" s="74"/>
    </x:row>
    <x:row r="82">
      <x:c r="A82" s="74"/>
      <x:c r="B82" s="74"/>
      <x:c r="C82" s="74"/>
      <x:c r="D82" s="74"/>
      <x:c r="E82" s="74"/>
      <x:c r="F82" s="74"/>
      <x:c r="G82" s="74"/>
      <x:c r="H82" s="74"/>
      <x:c r="I82" s="74"/>
      <x:c r="J82" s="74"/>
      <x:c r="K82" s="74"/>
      <x:c r="L82" s="74"/>
      <x:c r="M82" s="74"/>
      <x:c r="N82" s="74"/>
      <x:c r="O82" s="74"/>
      <x:c r="P82" s="74"/>
      <x:c r="Q82" s="74"/>
      <x:c r="R82" s="74"/>
      <x:c r="S82" s="74"/>
      <x:c r="T82" s="74"/>
      <x:c r="U82" s="74"/>
      <x:c r="V82" s="74"/>
    </x:row>
    <x:row r="83">
      <x:c r="A83" s="74"/>
      <x:c r="B83" s="74"/>
      <x:c r="C83" s="74"/>
      <x:c r="D83" s="74"/>
      <x:c r="E83" s="74"/>
      <x:c r="F83" s="74"/>
      <x:c r="G83" s="74"/>
      <x:c r="H83" s="74"/>
      <x:c r="I83" s="74"/>
      <x:c r="J83" s="74"/>
      <x:c r="K83" s="74"/>
      <x:c r="L83" s="74"/>
      <x:c r="M83" s="74"/>
      <x:c r="N83" s="74"/>
      <x:c r="O83" s="74"/>
      <x:c r="P83" s="74"/>
      <x:c r="Q83" s="74"/>
      <x:c r="R83" s="74"/>
      <x:c r="S83" s="74"/>
      <x:c r="T83" s="74"/>
      <x:c r="U83" s="74"/>
      <x:c r="V83" s="74"/>
    </x:row>
    <x:row r="84">
      <x:c r="A84" s="74"/>
      <x:c r="B84" s="74"/>
      <x:c r="C84" s="74"/>
      <x:c r="D84" s="74"/>
      <x:c r="E84" s="74"/>
      <x:c r="F84" s="74"/>
      <x:c r="G84" s="74"/>
      <x:c r="H84" s="74"/>
      <x:c r="I84" s="74"/>
      <x:c r="J84" s="74"/>
      <x:c r="K84" s="74"/>
      <x:c r="L84" s="74"/>
      <x:c r="M84" s="74"/>
      <x:c r="N84" s="74"/>
      <x:c r="O84" s="74"/>
      <x:c r="P84" s="74"/>
      <x:c r="Q84" s="74"/>
      <x:c r="R84" s="74"/>
      <x:c r="S84" s="74"/>
      <x:c r="T84" s="74"/>
      <x:c r="U84" s="74"/>
      <x:c r="V84" s="74"/>
    </x:row>
    <x:row r="85">
      <x:c r="A85" s="74"/>
      <x:c r="B85" s="74"/>
      <x:c r="C85" s="74"/>
      <x:c r="D85" s="74"/>
      <x:c r="E85" s="74"/>
      <x:c r="F85" s="74"/>
      <x:c r="G85" s="74"/>
      <x:c r="H85" s="74"/>
      <x:c r="I85" s="74"/>
      <x:c r="J85" s="74"/>
      <x:c r="K85" s="74"/>
      <x:c r="L85" s="74"/>
      <x:c r="M85" s="74"/>
      <x:c r="N85" s="74"/>
      <x:c r="O85" s="74"/>
      <x:c r="P85" s="74"/>
      <x:c r="Q85" s="74"/>
      <x:c r="R85" s="74"/>
      <x:c r="S85" s="74"/>
      <x:c r="T85" s="74"/>
      <x:c r="U85" s="74"/>
      <x:c r="V85" s="74"/>
    </x:row>
    <x:row r="86">
      <x:c r="A86" s="74"/>
      <x:c r="B86" s="74"/>
      <x:c r="C86" s="74"/>
      <x:c r="D86" s="74"/>
      <x:c r="E86" s="74"/>
      <x:c r="F86" s="74"/>
      <x:c r="G86" s="74"/>
      <x:c r="H86" s="74"/>
      <x:c r="I86" s="74"/>
      <x:c r="J86" s="74"/>
      <x:c r="K86" s="74"/>
      <x:c r="L86" s="74"/>
      <x:c r="M86" s="74"/>
      <x:c r="N86" s="74"/>
      <x:c r="O86" s="74"/>
      <x:c r="P86" s="74"/>
      <x:c r="Q86" s="74"/>
      <x:c r="R86" s="74"/>
      <x:c r="S86" s="74"/>
      <x:c r="T86" s="74"/>
      <x:c r="U86" s="74"/>
      <x:c r="V86" s="74"/>
    </x:row>
    <x:row r="87">
      <x:c r="A87" s="74"/>
      <x:c r="B87" s="74"/>
      <x:c r="C87" s="74"/>
      <x:c r="D87" s="74"/>
      <x:c r="E87" s="74"/>
      <x:c r="F87" s="74"/>
      <x:c r="G87" s="74"/>
      <x:c r="H87" s="74"/>
      <x:c r="I87" s="74"/>
      <x:c r="J87" s="74"/>
      <x:c r="K87" s="74"/>
      <x:c r="L87" s="74"/>
      <x:c r="M87" s="74"/>
      <x:c r="N87" s="74"/>
      <x:c r="O87" s="74"/>
      <x:c r="P87" s="74"/>
      <x:c r="Q87" s="74"/>
      <x:c r="R87" s="74"/>
      <x:c r="S87" s="74"/>
      <x:c r="T87" s="74"/>
      <x:c r="U87" s="74"/>
      <x:c r="V87" s="74"/>
    </x:row>
    <x:row r="88">
      <x:c r="A88" s="74"/>
      <x:c r="B88" s="74"/>
      <x:c r="C88" s="74"/>
      <x:c r="D88" s="74"/>
      <x:c r="E88" s="74"/>
      <x:c r="F88" s="74"/>
      <x:c r="G88" s="74"/>
      <x:c r="H88" s="74"/>
      <x:c r="I88" s="74"/>
      <x:c r="J88" s="74"/>
      <x:c r="K88" s="74"/>
      <x:c r="L88" s="74"/>
      <x:c r="M88" s="74"/>
      <x:c r="N88" s="74"/>
      <x:c r="O88" s="74"/>
      <x:c r="P88" s="74"/>
      <x:c r="Q88" s="74"/>
      <x:c r="R88" s="74"/>
      <x:c r="S88" s="74"/>
      <x:c r="T88" s="74"/>
      <x:c r="U88" s="74"/>
      <x:c r="V88" s="74"/>
    </x:row>
    <x:row r="89">
      <x:c r="A89" s="74"/>
      <x:c r="B89" s="74"/>
      <x:c r="C89" s="74"/>
      <x:c r="D89" s="74"/>
      <x:c r="E89" s="74"/>
      <x:c r="F89" s="74"/>
      <x:c r="G89" s="74"/>
      <x:c r="H89" s="74"/>
      <x:c r="I89" s="74"/>
      <x:c r="J89" s="74"/>
      <x:c r="K89" s="74"/>
      <x:c r="L89" s="74"/>
      <x:c r="M89" s="74"/>
      <x:c r="N89" s="74"/>
      <x:c r="O89" s="74"/>
      <x:c r="P89" s="74"/>
      <x:c r="Q89" s="74"/>
      <x:c r="R89" s="74"/>
      <x:c r="S89" s="74"/>
      <x:c r="T89" s="74"/>
      <x:c r="U89" s="74"/>
      <x:c r="V89" s="74"/>
    </x:row>
    <x:row r="90">
      <x:c r="A90" s="74"/>
      <x:c r="B90" s="74"/>
      <x:c r="C90" s="74"/>
      <x:c r="D90" s="74"/>
      <x:c r="E90" s="74"/>
      <x:c r="F90" s="74"/>
      <x:c r="G90" s="74"/>
      <x:c r="H90" s="74"/>
      <x:c r="I90" s="74"/>
      <x:c r="J90" s="74"/>
      <x:c r="K90" s="74"/>
      <x:c r="L90" s="74"/>
      <x:c r="M90" s="74"/>
      <x:c r="N90" s="74"/>
      <x:c r="O90" s="74"/>
      <x:c r="P90" s="74"/>
      <x:c r="Q90" s="74"/>
      <x:c r="R90" s="74"/>
      <x:c r="S90" s="74"/>
      <x:c r="T90" s="74"/>
      <x:c r="U90" s="74"/>
      <x:c r="V90" s="74"/>
    </x:row>
    <x:row r="91">
      <x:c r="A91" s="74"/>
      <x:c r="B91" s="74"/>
      <x:c r="C91" s="74"/>
      <x:c r="D91" s="74"/>
      <x:c r="E91" s="74"/>
      <x:c r="F91" s="74"/>
      <x:c r="G91" s="74"/>
      <x:c r="H91" s="74"/>
      <x:c r="I91" s="74"/>
      <x:c r="J91" s="74"/>
      <x:c r="K91" s="74"/>
      <x:c r="L91" s="74"/>
      <x:c r="M91" s="74"/>
      <x:c r="N91" s="74"/>
      <x:c r="O91" s="74"/>
      <x:c r="P91" s="74"/>
      <x:c r="Q91" s="74"/>
      <x:c r="R91" s="74"/>
      <x:c r="S91" s="74"/>
      <x:c r="T91" s="74"/>
      <x:c r="U91" s="74"/>
      <x:c r="V91" s="74"/>
    </x:row>
    <x:row r="92">
      <x:c r="A92" s="74"/>
      <x:c r="B92" s="74"/>
      <x:c r="C92" s="74"/>
      <x:c r="D92" s="74"/>
      <x:c r="E92" s="74"/>
      <x:c r="F92" s="74"/>
      <x:c r="G92" s="74"/>
      <x:c r="H92" s="74"/>
      <x:c r="I92" s="74"/>
      <x:c r="J92" s="74"/>
      <x:c r="K92" s="74"/>
      <x:c r="L92" s="74"/>
      <x:c r="M92" s="74"/>
      <x:c r="N92" s="74"/>
      <x:c r="O92" s="74"/>
      <x:c r="P92" s="74"/>
      <x:c r="Q92" s="74"/>
      <x:c r="R92" s="74"/>
      <x:c r="S92" s="74"/>
      <x:c r="T92" s="74"/>
      <x:c r="U92" s="74"/>
      <x:c r="V92" s="74"/>
    </x:row>
    <x:row r="93">
      <x:c r="A93" s="74"/>
      <x:c r="B93" s="74"/>
      <x:c r="C93" s="74"/>
      <x:c r="D93" s="74"/>
      <x:c r="E93" s="74"/>
      <x:c r="F93" s="74"/>
      <x:c r="G93" s="74"/>
      <x:c r="H93" s="74"/>
      <x:c r="I93" s="74"/>
      <x:c r="J93" s="74"/>
      <x:c r="K93" s="74"/>
      <x:c r="L93" s="74"/>
      <x:c r="M93" s="74"/>
      <x:c r="N93" s="74"/>
      <x:c r="O93" s="74"/>
      <x:c r="P93" s="74"/>
      <x:c r="Q93" s="74"/>
      <x:c r="R93" s="74"/>
      <x:c r="S93" s="74"/>
      <x:c r="T93" s="74"/>
      <x:c r="U93" s="74"/>
      <x:c r="V93" s="74"/>
    </x:row>
    <x:row r="94">
      <x:c r="A94" s="74"/>
      <x:c r="B94" s="74"/>
      <x:c r="C94" s="74"/>
      <x:c r="D94" s="74"/>
      <x:c r="E94" s="74"/>
      <x:c r="F94" s="74"/>
      <x:c r="G94" s="74"/>
      <x:c r="H94" s="74"/>
      <x:c r="I94" s="74"/>
      <x:c r="J94" s="74"/>
      <x:c r="K94" s="74"/>
      <x:c r="L94" s="74"/>
      <x:c r="M94" s="74"/>
      <x:c r="N94" s="74"/>
      <x:c r="O94" s="74"/>
      <x:c r="P94" s="74"/>
      <x:c r="Q94" s="74"/>
      <x:c r="R94" s="74"/>
      <x:c r="S94" s="74"/>
      <x:c r="T94" s="74"/>
      <x:c r="U94" s="74"/>
      <x:c r="V94" s="74"/>
    </x:row>
    <x:row r="95">
      <x:c r="A95" s="74"/>
      <x:c r="B95" s="74"/>
      <x:c r="C95" s="74"/>
      <x:c r="D95" s="74"/>
      <x:c r="E95" s="74"/>
      <x:c r="F95" s="74"/>
      <x:c r="G95" s="74"/>
      <x:c r="H95" s="74"/>
      <x:c r="I95" s="74"/>
      <x:c r="J95" s="74"/>
      <x:c r="K95" s="74"/>
      <x:c r="L95" s="74"/>
      <x:c r="M95" s="74"/>
      <x:c r="N95" s="74"/>
      <x:c r="O95" s="74"/>
      <x:c r="P95" s="74"/>
      <x:c r="Q95" s="74"/>
      <x:c r="R95" s="74"/>
      <x:c r="S95" s="74"/>
      <x:c r="T95" s="74"/>
      <x:c r="U95" s="74"/>
      <x:c r="V95" s="74"/>
    </x:row>
    <x:row r="96">
      <x:c r="A96" s="74"/>
      <x:c r="B96" s="74"/>
      <x:c r="C96" s="74"/>
      <x:c r="D96" s="74"/>
      <x:c r="E96" s="74"/>
      <x:c r="F96" s="74"/>
      <x:c r="G96" s="74"/>
      <x:c r="H96" s="74"/>
      <x:c r="I96" s="74"/>
      <x:c r="J96" s="74"/>
      <x:c r="K96" s="74"/>
      <x:c r="L96" s="74"/>
      <x:c r="M96" s="74"/>
      <x:c r="N96" s="74"/>
      <x:c r="O96" s="74"/>
      <x:c r="P96" s="74"/>
      <x:c r="Q96" s="74"/>
      <x:c r="R96" s="74"/>
      <x:c r="S96" s="74"/>
      <x:c r="T96" s="74"/>
      <x:c r="U96" s="74"/>
      <x:c r="V96" s="74"/>
    </x:row>
    <x:row r="97">
      <x:c r="A97" s="74"/>
      <x:c r="B97" s="74"/>
      <x:c r="C97" s="74"/>
      <x:c r="D97" s="74"/>
      <x:c r="E97" s="74"/>
      <x:c r="F97" s="74"/>
      <x:c r="G97" s="74"/>
      <x:c r="H97" s="74"/>
      <x:c r="I97" s="74"/>
      <x:c r="J97" s="74"/>
      <x:c r="K97" s="74"/>
      <x:c r="L97" s="74"/>
      <x:c r="M97" s="74"/>
      <x:c r="N97" s="74"/>
      <x:c r="O97" s="74"/>
      <x:c r="P97" s="74"/>
      <x:c r="Q97" s="74"/>
      <x:c r="R97" s="74"/>
      <x:c r="S97" s="74"/>
      <x:c r="T97" s="74"/>
      <x:c r="U97" s="74"/>
      <x:c r="V97" s="74"/>
    </x:row>
    <x:row r="98">
      <x:c r="A98" s="74"/>
      <x:c r="B98" s="74"/>
      <x:c r="C98" s="74"/>
      <x:c r="D98" s="74"/>
      <x:c r="E98" s="74"/>
      <x:c r="F98" s="74"/>
      <x:c r="G98" s="74"/>
      <x:c r="H98" s="74"/>
      <x:c r="I98" s="74"/>
      <x:c r="J98" s="74"/>
      <x:c r="K98" s="74"/>
      <x:c r="L98" s="74"/>
      <x:c r="M98" s="74"/>
      <x:c r="N98" s="74"/>
      <x:c r="O98" s="74"/>
      <x:c r="P98" s="74"/>
      <x:c r="Q98" s="74"/>
      <x:c r="R98" s="74"/>
      <x:c r="S98" s="74"/>
      <x:c r="T98" s="74"/>
      <x:c r="U98" s="74"/>
      <x:c r="V98" s="74"/>
    </x:row>
    <x:row r="99">
      <x:c r="A99" s="74"/>
      <x:c r="B99" s="74"/>
      <x:c r="C99" s="74"/>
      <x:c r="D99" s="74"/>
      <x:c r="E99" s="74"/>
      <x:c r="F99" s="74"/>
      <x:c r="G99" s="74"/>
      <x:c r="H99" s="74"/>
      <x:c r="I99" s="74"/>
      <x:c r="J99" s="74"/>
      <x:c r="K99" s="74"/>
      <x:c r="L99" s="74"/>
      <x:c r="M99" s="74"/>
      <x:c r="N99" s="74"/>
      <x:c r="O99" s="74"/>
      <x:c r="P99" s="74"/>
      <x:c r="Q99" s="74"/>
      <x:c r="R99" s="74"/>
      <x:c r="S99" s="74"/>
      <x:c r="T99" s="74"/>
      <x:c r="U99" s="74"/>
      <x:c r="V99" s="74"/>
    </x:row>
    <x:row r="100">
      <x:c r="A100" s="74"/>
      <x:c r="B100" s="74"/>
      <x:c r="C100" s="74"/>
      <x:c r="D100" s="74"/>
      <x:c r="E100" s="74"/>
      <x:c r="F100" s="74"/>
      <x:c r="G100" s="74"/>
      <x:c r="H100" s="74"/>
      <x:c r="I100" s="74"/>
      <x:c r="J100" s="74"/>
      <x:c r="K100" s="74"/>
      <x:c r="L100" s="74"/>
      <x:c r="M100" s="74"/>
      <x:c r="N100" s="74"/>
      <x:c r="O100" s="74"/>
      <x:c r="P100" s="74"/>
      <x:c r="Q100" s="74"/>
      <x:c r="R100" s="74"/>
      <x:c r="S100" s="74"/>
      <x:c r="T100" s="74"/>
      <x:c r="U100" s="74"/>
      <x:c r="V100" s="74"/>
    </x:row>
    <x:row r="101">
      <x:c r="A101" s="74"/>
      <x:c r="B101" s="74"/>
      <x:c r="C101" s="74"/>
      <x:c r="D101" s="74"/>
      <x:c r="E101" s="74"/>
      <x:c r="F101" s="74"/>
      <x:c r="G101" s="74"/>
      <x:c r="H101" s="74"/>
      <x:c r="I101" s="74"/>
      <x:c r="J101" s="74"/>
      <x:c r="K101" s="74"/>
      <x:c r="L101" s="74"/>
      <x:c r="M101" s="74"/>
      <x:c r="N101" s="74"/>
      <x:c r="O101" s="74"/>
      <x:c r="P101" s="74"/>
      <x:c r="Q101" s="74"/>
      <x:c r="R101" s="74"/>
      <x:c r="S101" s="74"/>
      <x:c r="T101" s="74"/>
      <x:c r="U101" s="74"/>
      <x:c r="V101" s="74"/>
    </x:row>
    <x:row r="102">
      <x:c r="A102" s="74"/>
      <x:c r="B102" s="74"/>
      <x:c r="C102" s="74"/>
      <x:c r="D102" s="74"/>
      <x:c r="E102" s="74"/>
      <x:c r="F102" s="74"/>
      <x:c r="G102" s="74"/>
      <x:c r="H102" s="74"/>
      <x:c r="I102" s="74"/>
      <x:c r="J102" s="74"/>
      <x:c r="K102" s="74"/>
      <x:c r="L102" s="74"/>
      <x:c r="M102" s="74"/>
      <x:c r="N102" s="74"/>
      <x:c r="O102" s="74"/>
      <x:c r="P102" s="74"/>
      <x:c r="Q102" s="74"/>
      <x:c r="R102" s="74"/>
      <x:c r="S102" s="74"/>
      <x:c r="T102" s="74"/>
      <x:c r="U102" s="74"/>
      <x:c r="V102" s="74"/>
    </x:row>
    <x:row r="103">
      <x:c r="A103" s="74"/>
      <x:c r="B103" s="74"/>
      <x:c r="C103" s="74"/>
      <x:c r="D103" s="74"/>
      <x:c r="E103" s="74"/>
      <x:c r="F103" s="74"/>
      <x:c r="G103" s="74"/>
      <x:c r="H103" s="74"/>
      <x:c r="I103" s="74"/>
      <x:c r="J103" s="74"/>
      <x:c r="K103" s="74"/>
      <x:c r="L103" s="74"/>
      <x:c r="M103" s="74"/>
      <x:c r="N103" s="74"/>
      <x:c r="O103" s="74"/>
      <x:c r="P103" s="74"/>
      <x:c r="Q103" s="74"/>
      <x:c r="R103" s="74"/>
      <x:c r="S103" s="74"/>
      <x:c r="T103" s="74"/>
      <x:c r="U103" s="74"/>
      <x:c r="V103" s="74"/>
    </x:row>
    <x:row r="104">
      <x:c r="A104" s="74"/>
      <x:c r="B104" s="74"/>
      <x:c r="C104" s="74"/>
      <x:c r="D104" s="74"/>
      <x:c r="E104" s="74"/>
      <x:c r="F104" s="74"/>
      <x:c r="G104" s="74"/>
      <x:c r="H104" s="74"/>
      <x:c r="I104" s="74"/>
      <x:c r="J104" s="74"/>
      <x:c r="K104" s="74"/>
      <x:c r="L104" s="74"/>
      <x:c r="M104" s="74"/>
      <x:c r="N104" s="74"/>
      <x:c r="O104" s="74"/>
      <x:c r="P104" s="74"/>
      <x:c r="Q104" s="74"/>
      <x:c r="R104" s="74"/>
      <x:c r="S104" s="74"/>
      <x:c r="T104" s="74"/>
      <x:c r="U104" s="74"/>
      <x:c r="V104" s="74"/>
    </x:row>
    <x:row r="105">
      <x:c r="A105" s="74"/>
      <x:c r="B105" s="74"/>
      <x:c r="C105" s="74"/>
      <x:c r="D105" s="74"/>
      <x:c r="E105" s="74"/>
      <x:c r="F105" s="74"/>
      <x:c r="G105" s="74"/>
      <x:c r="H105" s="74"/>
      <x:c r="I105" s="74"/>
      <x:c r="J105" s="74"/>
      <x:c r="K105" s="74"/>
      <x:c r="L105" s="74"/>
      <x:c r="M105" s="74"/>
      <x:c r="N105" s="74"/>
      <x:c r="O105" s="74"/>
      <x:c r="P105" s="74"/>
      <x:c r="Q105" s="74"/>
      <x:c r="R105" s="74"/>
      <x:c r="S105" s="74"/>
      <x:c r="T105" s="74"/>
      <x:c r="U105" s="74"/>
      <x:c r="V105" s="74"/>
    </x:row>
    <x:row r="106">
      <x:c r="A106" s="74"/>
      <x:c r="B106" s="74"/>
      <x:c r="C106" s="74"/>
      <x:c r="D106" s="74"/>
      <x:c r="E106" s="74"/>
      <x:c r="F106" s="74"/>
      <x:c r="G106" s="74"/>
      <x:c r="H106" s="74"/>
      <x:c r="I106" s="74"/>
      <x:c r="J106" s="74"/>
      <x:c r="K106" s="74"/>
      <x:c r="L106" s="74"/>
      <x:c r="M106" s="74"/>
      <x:c r="N106" s="74"/>
      <x:c r="O106" s="74"/>
      <x:c r="P106" s="74"/>
      <x:c r="Q106" s="74"/>
      <x:c r="R106" s="74"/>
      <x:c r="S106" s="74"/>
      <x:c r="T106" s="74"/>
      <x:c r="U106" s="74"/>
      <x:c r="V106" s="74"/>
    </x:row>
    <x:row r="107">
      <x:c r="A107" s="74"/>
      <x:c r="B107" s="74"/>
      <x:c r="C107" s="74"/>
      <x:c r="D107" s="74"/>
      <x:c r="E107" s="74"/>
      <x:c r="F107" s="74"/>
      <x:c r="G107" s="74"/>
      <x:c r="H107" s="74"/>
      <x:c r="I107" s="74"/>
      <x:c r="J107" s="74"/>
      <x:c r="K107" s="74"/>
      <x:c r="L107" s="74"/>
      <x:c r="M107" s="74"/>
      <x:c r="N107" s="74"/>
      <x:c r="O107" s="74"/>
      <x:c r="P107" s="74"/>
      <x:c r="Q107" s="74"/>
      <x:c r="R107" s="74"/>
      <x:c r="S107" s="74"/>
      <x:c r="T107" s="74"/>
      <x:c r="U107" s="74"/>
      <x:c r="V107" s="74"/>
    </x:row>
    <x:row r="108">
      <x:c r="A108" s="74"/>
      <x:c r="B108" s="74"/>
      <x:c r="C108" s="74"/>
      <x:c r="D108" s="74"/>
      <x:c r="E108" s="74"/>
      <x:c r="F108" s="74"/>
      <x:c r="G108" s="74"/>
      <x:c r="H108" s="74"/>
      <x:c r="I108" s="74"/>
      <x:c r="J108" s="74"/>
      <x:c r="K108" s="74"/>
      <x:c r="L108" s="74"/>
      <x:c r="M108" s="74"/>
      <x:c r="N108" s="74"/>
      <x:c r="O108" s="74"/>
      <x:c r="P108" s="74"/>
      <x:c r="Q108" s="74"/>
      <x:c r="R108" s="74"/>
      <x:c r="S108" s="74"/>
      <x:c r="T108" s="74"/>
      <x:c r="U108" s="74"/>
      <x:c r="V108" s="74"/>
    </x:row>
    <x:row r="109">
      <x:c r="A109" s="74"/>
      <x:c r="B109" s="74"/>
      <x:c r="C109" s="74"/>
      <x:c r="D109" s="74"/>
      <x:c r="E109" s="74"/>
      <x:c r="F109" s="74"/>
      <x:c r="G109" s="74"/>
      <x:c r="H109" s="74"/>
      <x:c r="I109" s="74"/>
      <x:c r="J109" s="74"/>
      <x:c r="K109" s="74"/>
      <x:c r="L109" s="74"/>
      <x:c r="M109" s="74"/>
      <x:c r="N109" s="74"/>
      <x:c r="O109" s="74"/>
      <x:c r="P109" s="74"/>
      <x:c r="Q109" s="74"/>
      <x:c r="R109" s="74"/>
      <x:c r="S109" s="74"/>
      <x:c r="T109" s="74"/>
      <x:c r="U109" s="74"/>
      <x:c r="V109" s="74"/>
    </x:row>
    <x:row r="110">
      <x:c r="A110" s="74"/>
      <x:c r="B110" s="74"/>
      <x:c r="C110" s="74"/>
      <x:c r="D110" s="74"/>
      <x:c r="E110" s="74"/>
      <x:c r="F110" s="74"/>
      <x:c r="G110" s="74"/>
      <x:c r="H110" s="74"/>
      <x:c r="I110" s="74"/>
      <x:c r="J110" s="74"/>
      <x:c r="K110" s="74"/>
      <x:c r="L110" s="74"/>
      <x:c r="M110" s="74"/>
      <x:c r="N110" s="74"/>
      <x:c r="O110" s="74"/>
      <x:c r="P110" s="74"/>
      <x:c r="Q110" s="74"/>
      <x:c r="R110" s="74"/>
      <x:c r="S110" s="74"/>
      <x:c r="T110" s="74"/>
      <x:c r="U110" s="74"/>
      <x:c r="V110" s="74"/>
    </x:row>
    <x:row r="111">
      <x:c r="A111" s="74"/>
      <x:c r="B111" s="74"/>
      <x:c r="C111" s="74"/>
      <x:c r="D111" s="74"/>
      <x:c r="E111" s="74"/>
      <x:c r="F111" s="74"/>
      <x:c r="G111" s="74"/>
      <x:c r="H111" s="74"/>
      <x:c r="I111" s="74"/>
      <x:c r="J111" s="74"/>
      <x:c r="K111" s="74"/>
      <x:c r="L111" s="74"/>
      <x:c r="M111" s="74"/>
      <x:c r="N111" s="74"/>
      <x:c r="O111" s="74"/>
      <x:c r="P111" s="74"/>
      <x:c r="Q111" s="74"/>
      <x:c r="R111" s="74"/>
      <x:c r="S111" s="74"/>
      <x:c r="T111" s="74"/>
      <x:c r="U111" s="74"/>
      <x:c r="V111" s="74"/>
    </x:row>
    <x:row r="112">
      <x:c r="A112" s="74"/>
      <x:c r="B112" s="74"/>
      <x:c r="C112" s="74"/>
      <x:c r="D112" s="74"/>
      <x:c r="E112" s="74"/>
      <x:c r="F112" s="74"/>
      <x:c r="G112" s="74"/>
      <x:c r="H112" s="74"/>
      <x:c r="I112" s="74"/>
      <x:c r="J112" s="74"/>
      <x:c r="K112" s="74"/>
      <x:c r="L112" s="74"/>
      <x:c r="M112" s="74"/>
      <x:c r="N112" s="74"/>
      <x:c r="O112" s="74"/>
      <x:c r="P112" s="74"/>
      <x:c r="Q112" s="74"/>
      <x:c r="R112" s="74"/>
      <x:c r="S112" s="74"/>
      <x:c r="T112" s="74"/>
      <x:c r="U112" s="74"/>
      <x:c r="V112" s="74"/>
    </x:row>
    <x:row r="113">
      <x:c r="A113" s="74"/>
      <x:c r="B113" s="74"/>
      <x:c r="C113" s="74"/>
      <x:c r="D113" s="74"/>
      <x:c r="E113" s="74"/>
      <x:c r="F113" s="74"/>
      <x:c r="G113" s="74"/>
      <x:c r="H113" s="74"/>
      <x:c r="I113" s="74"/>
      <x:c r="J113" s="74"/>
      <x:c r="K113" s="74"/>
      <x:c r="L113" s="74"/>
      <x:c r="M113" s="74"/>
      <x:c r="N113" s="74"/>
      <x:c r="O113" s="74"/>
      <x:c r="P113" s="74"/>
      <x:c r="Q113" s="74"/>
      <x:c r="R113" s="74"/>
      <x:c r="S113" s="74"/>
      <x:c r="T113" s="74"/>
      <x:c r="U113" s="74"/>
      <x:c r="V113" s="74"/>
    </x:row>
    <x:row r="114">
      <x:c r="A114" s="74"/>
      <x:c r="B114" s="74"/>
      <x:c r="C114" s="74"/>
      <x:c r="D114" s="74"/>
      <x:c r="E114" s="74"/>
      <x:c r="F114" s="74"/>
      <x:c r="G114" s="74"/>
      <x:c r="H114" s="74"/>
      <x:c r="I114" s="74"/>
      <x:c r="J114" s="74"/>
      <x:c r="K114" s="74"/>
      <x:c r="L114" s="74"/>
      <x:c r="M114" s="74"/>
      <x:c r="N114" s="74"/>
      <x:c r="O114" s="74"/>
      <x:c r="P114" s="74"/>
      <x:c r="Q114" s="74"/>
      <x:c r="R114" s="74"/>
      <x:c r="S114" s="74"/>
      <x:c r="T114" s="74"/>
      <x:c r="U114" s="74"/>
      <x:c r="V114" s="74"/>
    </x:row>
    <x:row r="115">
      <x:c r="A115" s="74"/>
      <x:c r="B115" s="74"/>
      <x:c r="C115" s="74"/>
      <x:c r="D115" s="74"/>
      <x:c r="E115" s="74"/>
      <x:c r="F115" s="74"/>
      <x:c r="G115" s="74"/>
      <x:c r="H115" s="74"/>
      <x:c r="I115" s="74"/>
      <x:c r="J115" s="74"/>
      <x:c r="K115" s="74"/>
      <x:c r="L115" s="74"/>
      <x:c r="M115" s="74"/>
      <x:c r="N115" s="74"/>
      <x:c r="O115" s="74"/>
      <x:c r="P115" s="74"/>
      <x:c r="Q115" s="74"/>
      <x:c r="R115" s="74"/>
      <x:c r="S115" s="74"/>
      <x:c r="T115" s="74"/>
      <x:c r="U115" s="74"/>
      <x:c r="V115" s="74"/>
    </x:row>
    <x:row r="116">
      <x:c r="A116" s="74"/>
      <x:c r="B116" s="74"/>
      <x:c r="C116" s="74"/>
      <x:c r="D116" s="74"/>
      <x:c r="E116" s="74"/>
      <x:c r="F116" s="74"/>
      <x:c r="G116" s="74"/>
      <x:c r="H116" s="74"/>
      <x:c r="I116" s="74"/>
      <x:c r="J116" s="74"/>
      <x:c r="K116" s="74"/>
      <x:c r="L116" s="74"/>
      <x:c r="M116" s="74"/>
      <x:c r="N116" s="74"/>
      <x:c r="O116" s="74"/>
      <x:c r="P116" s="74"/>
      <x:c r="Q116" s="74"/>
      <x:c r="R116" s="74"/>
      <x:c r="S116" s="74"/>
      <x:c r="T116" s="74"/>
      <x:c r="U116" s="74"/>
      <x:c r="V116" s="74"/>
    </x:row>
    <x:row r="117">
      <x:c r="A117" s="74"/>
      <x:c r="B117" s="74"/>
      <x:c r="C117" s="74"/>
      <x:c r="D117" s="74"/>
      <x:c r="E117" s="74"/>
      <x:c r="F117" s="74"/>
      <x:c r="G117" s="74"/>
      <x:c r="H117" s="74"/>
      <x:c r="I117" s="74"/>
      <x:c r="J117" s="74"/>
      <x:c r="K117" s="74"/>
      <x:c r="L117" s="74"/>
      <x:c r="M117" s="74"/>
      <x:c r="N117" s="74"/>
      <x:c r="O117" s="74"/>
      <x:c r="P117" s="74"/>
      <x:c r="Q117" s="74"/>
      <x:c r="R117" s="74"/>
      <x:c r="S117" s="74"/>
      <x:c r="T117" s="74"/>
      <x:c r="U117" s="74"/>
      <x:c r="V117" s="74"/>
    </x:row>
    <x:row r="118">
      <x:c r="A118" s="74"/>
      <x:c r="B118" s="74"/>
      <x:c r="C118" s="74"/>
      <x:c r="D118" s="74"/>
      <x:c r="E118" s="74"/>
      <x:c r="F118" s="74"/>
      <x:c r="G118" s="74"/>
      <x:c r="H118" s="74"/>
      <x:c r="I118" s="74"/>
      <x:c r="J118" s="74"/>
      <x:c r="K118" s="74"/>
      <x:c r="L118" s="74"/>
      <x:c r="M118" s="74"/>
      <x:c r="N118" s="74"/>
      <x:c r="O118" s="74"/>
      <x:c r="P118" s="74"/>
      <x:c r="Q118" s="74"/>
      <x:c r="R118" s="74"/>
      <x:c r="S118" s="74"/>
      <x:c r="T118" s="74"/>
      <x:c r="U118" s="74"/>
      <x:c r="V118" s="74"/>
    </x:row>
    <x:row r="119">
      <x:c r="A119" s="74"/>
      <x:c r="B119" s="74"/>
      <x:c r="C119" s="74"/>
      <x:c r="D119" s="74"/>
      <x:c r="E119" s="74"/>
      <x:c r="F119" s="74"/>
      <x:c r="G119" s="74"/>
      <x:c r="H119" s="74"/>
      <x:c r="I119" s="74"/>
      <x:c r="J119" s="74"/>
      <x:c r="K119" s="74"/>
      <x:c r="L119" s="74"/>
      <x:c r="M119" s="74"/>
      <x:c r="N119" s="74"/>
      <x:c r="O119" s="74"/>
      <x:c r="P119" s="74"/>
      <x:c r="Q119" s="74"/>
      <x:c r="R119" s="74"/>
      <x:c r="S119" s="74"/>
      <x:c r="T119" s="74"/>
      <x:c r="U119" s="74"/>
      <x:c r="V119" s="74"/>
    </x:row>
    <x:row r="120">
      <x:c r="A120" s="74"/>
      <x:c r="B120" s="74"/>
      <x:c r="C120" s="74"/>
      <x:c r="D120" s="74"/>
      <x:c r="E120" s="74"/>
      <x:c r="F120" s="74"/>
      <x:c r="G120" s="74"/>
      <x:c r="H120" s="74"/>
      <x:c r="I120" s="74"/>
      <x:c r="J120" s="74"/>
      <x:c r="K120" s="74"/>
      <x:c r="L120" s="74"/>
      <x:c r="M120" s="74"/>
      <x:c r="N120" s="74"/>
      <x:c r="O120" s="74"/>
      <x:c r="P120" s="74"/>
      <x:c r="Q120" s="74"/>
      <x:c r="R120" s="74"/>
      <x:c r="S120" s="74"/>
      <x:c r="T120" s="74"/>
      <x:c r="U120" s="74"/>
      <x:c r="V120" s="74"/>
    </x:row>
    <x:row r="121">
      <x:c r="A121" s="74"/>
      <x:c r="B121" s="74"/>
      <x:c r="C121" s="74"/>
      <x:c r="D121" s="74"/>
      <x:c r="E121" s="74"/>
      <x:c r="F121" s="74"/>
      <x:c r="G121" s="74"/>
      <x:c r="H121" s="74"/>
      <x:c r="I121" s="74"/>
      <x:c r="J121" s="74"/>
      <x:c r="K121" s="74"/>
      <x:c r="L121" s="74"/>
      <x:c r="M121" s="74"/>
      <x:c r="N121" s="74"/>
      <x:c r="O121" s="74"/>
      <x:c r="P121" s="74"/>
      <x:c r="Q121" s="74"/>
      <x:c r="R121" s="74"/>
      <x:c r="S121" s="74"/>
      <x:c r="T121" s="74"/>
      <x:c r="U121" s="74"/>
      <x:c r="V121" s="74"/>
    </x:row>
    <x:row r="122">
      <x:c r="A122" s="74"/>
      <x:c r="B122" s="74"/>
      <x:c r="C122" s="74"/>
      <x:c r="D122" s="74"/>
      <x:c r="E122" s="74"/>
      <x:c r="F122" s="74"/>
      <x:c r="G122" s="74"/>
      <x:c r="H122" s="74"/>
      <x:c r="I122" s="74"/>
      <x:c r="J122" s="74"/>
      <x:c r="K122" s="74"/>
      <x:c r="L122" s="74"/>
      <x:c r="M122" s="74"/>
      <x:c r="N122" s="74"/>
      <x:c r="O122" s="74"/>
      <x:c r="P122" s="74"/>
      <x:c r="Q122" s="74"/>
      <x:c r="R122" s="74"/>
      <x:c r="S122" s="74"/>
      <x:c r="T122" s="74"/>
      <x:c r="U122" s="74"/>
      <x:c r="V122" s="74"/>
    </x:row>
    <x:row r="123">
      <x:c r="A123" s="74"/>
      <x:c r="B123" s="74"/>
      <x:c r="C123" s="74"/>
      <x:c r="D123" s="74"/>
      <x:c r="E123" s="74"/>
      <x:c r="F123" s="74"/>
      <x:c r="G123" s="74"/>
      <x:c r="H123" s="74"/>
      <x:c r="I123" s="74"/>
      <x:c r="J123" s="74"/>
      <x:c r="K123" s="74"/>
      <x:c r="L123" s="74"/>
      <x:c r="M123" s="74"/>
      <x:c r="N123" s="74"/>
      <x:c r="O123" s="74"/>
      <x:c r="P123" s="74"/>
      <x:c r="Q123" s="74"/>
      <x:c r="R123" s="74"/>
      <x:c r="S123" s="74"/>
      <x:c r="T123" s="74"/>
      <x:c r="U123" s="74"/>
      <x:c r="V123" s="74"/>
    </x:row>
    <x:row r="124">
      <x:c r="A124" s="74"/>
      <x:c r="B124" s="74"/>
      <x:c r="C124" s="74"/>
      <x:c r="D124" s="74"/>
      <x:c r="E124" s="74"/>
      <x:c r="F124" s="74"/>
      <x:c r="G124" s="74"/>
      <x:c r="H124" s="74"/>
      <x:c r="I124" s="74"/>
      <x:c r="J124" s="74"/>
      <x:c r="K124" s="74"/>
      <x:c r="L124" s="74"/>
      <x:c r="M124" s="74"/>
      <x:c r="N124" s="74"/>
      <x:c r="O124" s="74"/>
      <x:c r="P124" s="74"/>
      <x:c r="Q124" s="74"/>
      <x:c r="R124" s="74"/>
      <x:c r="S124" s="74"/>
      <x:c r="T124" s="74"/>
      <x:c r="U124" s="74"/>
      <x:c r="V124" s="74"/>
    </x:row>
    <x:row r="125">
      <x:c r="A125" s="74"/>
      <x:c r="B125" s="74"/>
      <x:c r="C125" s="74"/>
      <x:c r="D125" s="74"/>
      <x:c r="E125" s="74"/>
      <x:c r="F125" s="74"/>
      <x:c r="G125" s="74"/>
      <x:c r="H125" s="74"/>
      <x:c r="I125" s="74"/>
      <x:c r="J125" s="74"/>
      <x:c r="K125" s="74"/>
      <x:c r="L125" s="74"/>
      <x:c r="M125" s="74"/>
      <x:c r="N125" s="74"/>
      <x:c r="O125" s="74"/>
      <x:c r="P125" s="74"/>
      <x:c r="Q125" s="74"/>
      <x:c r="R125" s="74"/>
      <x:c r="S125" s="74"/>
      <x:c r="T125" s="74"/>
      <x:c r="U125" s="74"/>
      <x:c r="V125" s="74"/>
    </x:row>
    <x:row r="126">
      <x:c r="A126" s="74"/>
      <x:c r="B126" s="74"/>
      <x:c r="C126" s="74"/>
      <x:c r="D126" s="74"/>
      <x:c r="E126" s="74"/>
      <x:c r="F126" s="74"/>
      <x:c r="G126" s="74"/>
      <x:c r="H126" s="74"/>
      <x:c r="I126" s="74"/>
      <x:c r="J126" s="74"/>
      <x:c r="K126" s="74"/>
      <x:c r="L126" s="74"/>
      <x:c r="M126" s="74"/>
      <x:c r="N126" s="74"/>
      <x:c r="O126" s="74"/>
      <x:c r="P126" s="74"/>
      <x:c r="Q126" s="74"/>
      <x:c r="R126" s="74"/>
      <x:c r="S126" s="74"/>
      <x:c r="T126" s="74"/>
      <x:c r="U126" s="74"/>
      <x:c r="V126" s="74"/>
    </x:row>
    <x:row r="127">
      <x:c r="A127" s="74"/>
      <x:c r="B127" s="74"/>
      <x:c r="C127" s="74"/>
      <x:c r="D127" s="74"/>
      <x:c r="E127" s="74"/>
      <x:c r="F127" s="74"/>
      <x:c r="G127" s="74"/>
      <x:c r="H127" s="74"/>
      <x:c r="I127" s="74"/>
      <x:c r="J127" s="74"/>
      <x:c r="K127" s="74"/>
      <x:c r="L127" s="74"/>
      <x:c r="M127" s="74"/>
      <x:c r="N127" s="74"/>
      <x:c r="O127" s="74"/>
      <x:c r="P127" s="74"/>
      <x:c r="Q127" s="74"/>
      <x:c r="R127" s="74"/>
      <x:c r="S127" s="74"/>
      <x:c r="T127" s="74"/>
      <x:c r="U127" s="74"/>
      <x:c r="V127" s="74"/>
    </x:row>
    <x:row r="128">
      <x:c r="A128" s="74"/>
      <x:c r="B128" s="74"/>
      <x:c r="C128" s="74"/>
      <x:c r="D128" s="74"/>
      <x:c r="E128" s="74"/>
      <x:c r="F128" s="74"/>
      <x:c r="G128" s="74"/>
      <x:c r="H128" s="74"/>
      <x:c r="I128" s="74"/>
      <x:c r="J128" s="74"/>
      <x:c r="K128" s="74"/>
      <x:c r="L128" s="74"/>
      <x:c r="M128" s="74"/>
      <x:c r="N128" s="74"/>
      <x:c r="O128" s="74"/>
      <x:c r="P128" s="74"/>
      <x:c r="Q128" s="74"/>
      <x:c r="R128" s="74"/>
      <x:c r="S128" s="74"/>
      <x:c r="T128" s="74"/>
      <x:c r="U128" s="74"/>
      <x:c r="V128" s="74"/>
    </x:row>
    <x:row r="129">
      <x:c r="A129" s="74"/>
      <x:c r="B129" s="74"/>
      <x:c r="C129" s="74"/>
      <x:c r="D129" s="74"/>
      <x:c r="E129" s="74"/>
      <x:c r="F129" s="74"/>
      <x:c r="G129" s="74"/>
      <x:c r="H129" s="74"/>
      <x:c r="I129" s="74"/>
      <x:c r="J129" s="74"/>
      <x:c r="K129" s="74"/>
      <x:c r="L129" s="74"/>
      <x:c r="M129" s="74"/>
      <x:c r="N129" s="74"/>
      <x:c r="O129" s="74"/>
      <x:c r="P129" s="74"/>
      <x:c r="Q129" s="74"/>
      <x:c r="R129" s="74"/>
      <x:c r="S129" s="74"/>
      <x:c r="T129" s="74"/>
      <x:c r="U129" s="74"/>
      <x:c r="V129" s="74"/>
    </x:row>
    <x:row r="130">
      <x:c r="A130" s="74"/>
      <x:c r="B130" s="74"/>
      <x:c r="C130" s="74"/>
      <x:c r="D130" s="74"/>
      <x:c r="E130" s="74"/>
      <x:c r="F130" s="74"/>
      <x:c r="G130" s="74"/>
      <x:c r="H130" s="74"/>
      <x:c r="I130" s="74"/>
      <x:c r="J130" s="74"/>
      <x:c r="K130" s="74"/>
      <x:c r="L130" s="74"/>
      <x:c r="M130" s="74"/>
      <x:c r="N130" s="74"/>
      <x:c r="O130" s="74"/>
      <x:c r="P130" s="74"/>
      <x:c r="Q130" s="74"/>
      <x:c r="R130" s="74"/>
      <x:c r="S130" s="74"/>
      <x:c r="T130" s="74"/>
      <x:c r="U130" s="74"/>
      <x:c r="V130" s="74"/>
    </x:row>
    <x:row r="131">
      <x:c r="A131" s="74"/>
      <x:c r="B131" s="74"/>
      <x:c r="C131" s="74"/>
      <x:c r="D131" s="74"/>
      <x:c r="E131" s="74"/>
      <x:c r="F131" s="74"/>
      <x:c r="G131" s="74"/>
      <x:c r="H131" s="74"/>
      <x:c r="I131" s="74"/>
      <x:c r="J131" s="74"/>
      <x:c r="K131" s="74"/>
      <x:c r="L131" s="74"/>
      <x:c r="M131" s="74"/>
      <x:c r="N131" s="74"/>
      <x:c r="O131" s="74"/>
      <x:c r="P131" s="74"/>
      <x:c r="Q131" s="74"/>
      <x:c r="R131" s="74"/>
      <x:c r="S131" s="74"/>
      <x:c r="T131" s="74"/>
      <x:c r="U131" s="74"/>
      <x:c r="V131" s="74"/>
    </x:row>
    <x:row r="132">
      <x:c r="A132" s="74"/>
      <x:c r="B132" s="74"/>
      <x:c r="C132" s="74"/>
      <x:c r="D132" s="74"/>
      <x:c r="E132" s="74"/>
      <x:c r="F132" s="74"/>
      <x:c r="G132" s="74"/>
      <x:c r="H132" s="74"/>
      <x:c r="I132" s="74"/>
      <x:c r="J132" s="74"/>
      <x:c r="K132" s="74"/>
      <x:c r="L132" s="74"/>
      <x:c r="M132" s="74"/>
      <x:c r="N132" s="74"/>
      <x:c r="O132" s="74"/>
      <x:c r="P132" s="74"/>
      <x:c r="Q132" s="74"/>
      <x:c r="R132" s="74"/>
      <x:c r="S132" s="74"/>
      <x:c r="T132" s="74"/>
      <x:c r="U132" s="74"/>
      <x:c r="V132" s="74"/>
    </x:row>
    <x:row r="133">
      <x:c r="A133" s="74"/>
      <x:c r="B133" s="74"/>
      <x:c r="C133" s="74"/>
      <x:c r="D133" s="74"/>
      <x:c r="E133" s="74"/>
      <x:c r="F133" s="74"/>
      <x:c r="G133" s="74"/>
      <x:c r="H133" s="74"/>
      <x:c r="I133" s="74"/>
      <x:c r="J133" s="74"/>
      <x:c r="K133" s="74"/>
      <x:c r="L133" s="74"/>
      <x:c r="M133" s="74"/>
      <x:c r="N133" s="74"/>
      <x:c r="O133" s="74"/>
      <x:c r="P133" s="74"/>
      <x:c r="Q133" s="74"/>
      <x:c r="R133" s="74"/>
      <x:c r="S133" s="74"/>
      <x:c r="T133" s="74"/>
      <x:c r="U133" s="74"/>
      <x:c r="V133" s="74"/>
    </x:row>
    <x:row r="134">
      <x:c r="A134" s="74"/>
      <x:c r="B134" s="74"/>
      <x:c r="C134" s="74"/>
      <x:c r="D134" s="74"/>
      <x:c r="E134" s="74"/>
      <x:c r="F134" s="74"/>
      <x:c r="G134" s="74"/>
      <x:c r="H134" s="74"/>
      <x:c r="I134" s="74"/>
      <x:c r="J134" s="74"/>
      <x:c r="K134" s="74"/>
      <x:c r="L134" s="74"/>
      <x:c r="M134" s="74"/>
      <x:c r="N134" s="74"/>
      <x:c r="O134" s="74"/>
      <x:c r="P134" s="74"/>
      <x:c r="Q134" s="74"/>
      <x:c r="R134" s="74"/>
      <x:c r="S134" s="74"/>
      <x:c r="T134" s="74"/>
      <x:c r="U134" s="74"/>
      <x:c r="V134" s="74"/>
    </x:row>
    <x:row r="135">
      <x:c r="A135" s="74"/>
      <x:c r="B135" s="74"/>
      <x:c r="C135" s="74"/>
      <x:c r="D135" s="74"/>
      <x:c r="E135" s="74"/>
      <x:c r="F135" s="74"/>
      <x:c r="G135" s="74"/>
      <x:c r="H135" s="74"/>
      <x:c r="I135" s="74"/>
      <x:c r="J135" s="74"/>
      <x:c r="K135" s="74"/>
      <x:c r="L135" s="74"/>
      <x:c r="M135" s="74"/>
      <x:c r="N135" s="74"/>
      <x:c r="O135" s="74"/>
      <x:c r="P135" s="74"/>
      <x:c r="Q135" s="74"/>
      <x:c r="R135" s="74"/>
      <x:c r="S135" s="74"/>
      <x:c r="T135" s="74"/>
      <x:c r="U135" s="74"/>
      <x:c r="V135" s="74"/>
    </x:row>
    <x:row r="136">
      <x:c r="A136" s="74"/>
      <x:c r="B136" s="74"/>
      <x:c r="C136" s="74"/>
      <x:c r="D136" s="74"/>
      <x:c r="E136" s="74"/>
      <x:c r="F136" s="74"/>
      <x:c r="G136" s="74"/>
      <x:c r="H136" s="74"/>
      <x:c r="I136" s="74"/>
      <x:c r="J136" s="74"/>
      <x:c r="K136" s="74"/>
      <x:c r="L136" s="74"/>
      <x:c r="M136" s="74"/>
      <x:c r="N136" s="74"/>
      <x:c r="O136" s="74"/>
      <x:c r="P136" s="74"/>
      <x:c r="Q136" s="74"/>
      <x:c r="R136" s="74"/>
      <x:c r="S136" s="74"/>
      <x:c r="T136" s="74"/>
      <x:c r="U136" s="74"/>
      <x:c r="V136" s="74"/>
    </x:row>
    <x:row r="137">
      <x:c r="A137" s="74"/>
      <x:c r="B137" s="74"/>
      <x:c r="C137" s="74"/>
      <x:c r="D137" s="74"/>
      <x:c r="E137" s="74"/>
      <x:c r="F137" s="74"/>
      <x:c r="G137" s="74"/>
      <x:c r="H137" s="74"/>
      <x:c r="I137" s="74"/>
      <x:c r="J137" s="74"/>
      <x:c r="K137" s="74"/>
      <x:c r="L137" s="74"/>
      <x:c r="M137" s="74"/>
      <x:c r="N137" s="74"/>
      <x:c r="O137" s="74"/>
      <x:c r="P137" s="74"/>
      <x:c r="Q137" s="74"/>
      <x:c r="R137" s="74"/>
      <x:c r="S137" s="74"/>
      <x:c r="T137" s="74"/>
      <x:c r="U137" s="74"/>
      <x:c r="V137" s="74"/>
    </x:row>
    <x:row r="138">
      <x:c r="A138" s="74"/>
      <x:c r="B138" s="74"/>
      <x:c r="C138" s="74"/>
      <x:c r="D138" s="74"/>
      <x:c r="E138" s="74"/>
      <x:c r="F138" s="74"/>
      <x:c r="G138" s="74"/>
      <x:c r="H138" s="74"/>
      <x:c r="I138" s="74"/>
      <x:c r="J138" s="74"/>
      <x:c r="K138" s="74"/>
      <x:c r="L138" s="74"/>
      <x:c r="M138" s="74"/>
      <x:c r="N138" s="74"/>
      <x:c r="O138" s="74"/>
      <x:c r="P138" s="74"/>
      <x:c r="Q138" s="74"/>
      <x:c r="R138" s="74"/>
      <x:c r="S138" s="74"/>
      <x:c r="T138" s="74"/>
      <x:c r="U138" s="74"/>
      <x:c r="V138" s="74"/>
    </x:row>
    <x:row r="139">
      <x:c r="A139" s="74"/>
      <x:c r="B139" s="74"/>
      <x:c r="C139" s="74"/>
      <x:c r="D139" s="74"/>
      <x:c r="E139" s="74"/>
      <x:c r="F139" s="74"/>
      <x:c r="G139" s="74"/>
      <x:c r="H139" s="74"/>
      <x:c r="I139" s="74"/>
      <x:c r="J139" s="74"/>
      <x:c r="K139" s="74"/>
      <x:c r="L139" s="74"/>
      <x:c r="M139" s="74"/>
      <x:c r="N139" s="74"/>
      <x:c r="O139" s="74"/>
      <x:c r="P139" s="74"/>
      <x:c r="Q139" s="74"/>
      <x:c r="R139" s="74"/>
      <x:c r="S139" s="74"/>
      <x:c r="T139" s="74"/>
      <x:c r="U139" s="74"/>
      <x:c r="V139" s="74"/>
    </x:row>
    <x:row r="140">
      <x:c r="A140" s="74"/>
      <x:c r="B140" s="74"/>
      <x:c r="C140" s="74"/>
      <x:c r="D140" s="74"/>
      <x:c r="E140" s="74"/>
      <x:c r="F140" s="74"/>
      <x:c r="G140" s="74"/>
      <x:c r="H140" s="74"/>
      <x:c r="I140" s="74"/>
      <x:c r="J140" s="74"/>
      <x:c r="K140" s="74"/>
      <x:c r="L140" s="74"/>
      <x:c r="M140" s="74"/>
      <x:c r="N140" s="74"/>
      <x:c r="O140" s="74"/>
      <x:c r="P140" s="74"/>
      <x:c r="Q140" s="74"/>
      <x:c r="R140" s="74"/>
      <x:c r="S140" s="74"/>
      <x:c r="T140" s="74"/>
      <x:c r="U140" s="74"/>
      <x:c r="V140" s="74"/>
    </x:row>
    <x:row r="141">
      <x:c r="A141" s="74"/>
      <x:c r="B141" s="74"/>
      <x:c r="C141" s="74"/>
      <x:c r="D141" s="74"/>
      <x:c r="E141" s="74"/>
      <x:c r="F141" s="74"/>
      <x:c r="G141" s="74"/>
      <x:c r="H141" s="74"/>
      <x:c r="I141" s="74"/>
      <x:c r="J141" s="74"/>
      <x:c r="K141" s="74"/>
      <x:c r="L141" s="74"/>
      <x:c r="M141" s="74"/>
      <x:c r="N141" s="74"/>
      <x:c r="O141" s="74"/>
      <x:c r="P141" s="74"/>
      <x:c r="Q141" s="74"/>
      <x:c r="R141" s="74"/>
      <x:c r="S141" s="74"/>
      <x:c r="T141" s="74"/>
      <x:c r="U141" s="74"/>
      <x:c r="V141" s="74"/>
    </x:row>
    <x:row r="142">
      <x:c r="A142" s="74"/>
      <x:c r="B142" s="74"/>
      <x:c r="C142" s="74"/>
      <x:c r="D142" s="74"/>
      <x:c r="E142" s="74"/>
      <x:c r="F142" s="74"/>
      <x:c r="G142" s="74"/>
      <x:c r="H142" s="74"/>
      <x:c r="I142" s="74"/>
      <x:c r="J142" s="74"/>
      <x:c r="K142" s="74"/>
      <x:c r="L142" s="74"/>
      <x:c r="M142" s="74"/>
      <x:c r="N142" s="74"/>
      <x:c r="O142" s="74"/>
      <x:c r="P142" s="74"/>
      <x:c r="Q142" s="74"/>
      <x:c r="R142" s="74"/>
      <x:c r="S142" s="74"/>
      <x:c r="T142" s="74"/>
      <x:c r="U142" s="74"/>
      <x:c r="V142" s="74"/>
    </x:row>
    <x:row r="143">
      <x:c r="A143" s="74"/>
      <x:c r="B143" s="74"/>
      <x:c r="C143" s="74"/>
      <x:c r="D143" s="74"/>
      <x:c r="E143" s="74"/>
      <x:c r="F143" s="74"/>
      <x:c r="G143" s="74"/>
      <x:c r="H143" s="74"/>
      <x:c r="I143" s="74"/>
      <x:c r="J143" s="74"/>
      <x:c r="K143" s="74"/>
      <x:c r="L143" s="74"/>
      <x:c r="M143" s="74"/>
      <x:c r="N143" s="74"/>
      <x:c r="O143" s="74"/>
      <x:c r="P143" s="74"/>
      <x:c r="Q143" s="74"/>
      <x:c r="R143" s="74"/>
      <x:c r="S143" s="74"/>
      <x:c r="T143" s="74"/>
      <x:c r="U143" s="74"/>
      <x:c r="V143" s="74"/>
    </x:row>
    <x:row r="144">
      <x:c r="A144" s="74"/>
      <x:c r="B144" s="74"/>
      <x:c r="C144" s="74"/>
      <x:c r="D144" s="74"/>
      <x:c r="E144" s="74"/>
      <x:c r="F144" s="74"/>
      <x:c r="G144" s="74"/>
      <x:c r="H144" s="74"/>
      <x:c r="I144" s="74"/>
      <x:c r="J144" s="74"/>
      <x:c r="K144" s="74"/>
      <x:c r="L144" s="74"/>
      <x:c r="M144" s="74"/>
      <x:c r="N144" s="74"/>
      <x:c r="O144" s="74"/>
      <x:c r="P144" s="74"/>
      <x:c r="Q144" s="74"/>
      <x:c r="R144" s="74"/>
      <x:c r="S144" s="74"/>
      <x:c r="T144" s="74"/>
      <x:c r="U144" s="74"/>
      <x:c r="V144" s="74"/>
    </x:row>
    <x:row r="145">
      <x:c r="A145" s="74"/>
      <x:c r="B145" s="74"/>
      <x:c r="C145" s="74"/>
      <x:c r="D145" s="74"/>
      <x:c r="E145" s="74"/>
      <x:c r="F145" s="74"/>
      <x:c r="G145" s="74"/>
      <x:c r="H145" s="74"/>
      <x:c r="I145" s="74"/>
      <x:c r="J145" s="74"/>
      <x:c r="K145" s="74"/>
      <x:c r="L145" s="74"/>
      <x:c r="M145" s="74"/>
      <x:c r="N145" s="74"/>
      <x:c r="O145" s="74"/>
      <x:c r="P145" s="74"/>
      <x:c r="Q145" s="74"/>
      <x:c r="R145" s="74"/>
      <x:c r="S145" s="74"/>
      <x:c r="T145" s="74"/>
      <x:c r="U145" s="74"/>
      <x:c r="V145" s="74"/>
    </x:row>
    <x:row r="146">
      <x:c r="A146" s="74"/>
      <x:c r="B146" s="74"/>
      <x:c r="C146" s="74"/>
      <x:c r="D146" s="74"/>
      <x:c r="E146" s="74"/>
      <x:c r="F146" s="74"/>
      <x:c r="G146" s="74"/>
      <x:c r="H146" s="74"/>
      <x:c r="I146" s="74"/>
      <x:c r="J146" s="74"/>
      <x:c r="K146" s="74"/>
      <x:c r="L146" s="74"/>
      <x:c r="M146" s="74"/>
      <x:c r="N146" s="74"/>
      <x:c r="O146" s="74"/>
      <x:c r="P146" s="74"/>
      <x:c r="Q146" s="74"/>
      <x:c r="R146" s="74"/>
      <x:c r="S146" s="74"/>
      <x:c r="T146" s="74"/>
      <x:c r="U146" s="74"/>
      <x:c r="V146" s="74"/>
    </x:row>
    <x:row r="147">
      <x:c r="A147" s="74"/>
      <x:c r="B147" s="74"/>
      <x:c r="C147" s="74"/>
      <x:c r="D147" s="74"/>
      <x:c r="E147" s="74"/>
      <x:c r="F147" s="74"/>
      <x:c r="G147" s="74"/>
      <x:c r="H147" s="74"/>
      <x:c r="I147" s="74"/>
      <x:c r="J147" s="74"/>
      <x:c r="K147" s="74"/>
      <x:c r="L147" s="74"/>
      <x:c r="M147" s="74"/>
      <x:c r="N147" s="74"/>
      <x:c r="O147" s="74"/>
      <x:c r="P147" s="74"/>
      <x:c r="Q147" s="74"/>
      <x:c r="R147" s="74"/>
      <x:c r="S147" s="74"/>
      <x:c r="T147" s="74"/>
      <x:c r="U147" s="74"/>
      <x:c r="V147" s="74"/>
    </x:row>
    <x:row r="148">
      <x:c r="A148" s="74"/>
      <x:c r="B148" s="74"/>
      <x:c r="C148" s="74"/>
      <x:c r="D148" s="74"/>
      <x:c r="E148" s="74"/>
      <x:c r="F148" s="74"/>
      <x:c r="G148" s="74"/>
      <x:c r="H148" s="74"/>
      <x:c r="I148" s="74"/>
      <x:c r="J148" s="74"/>
      <x:c r="K148" s="74"/>
      <x:c r="L148" s="74"/>
      <x:c r="M148" s="74"/>
      <x:c r="N148" s="74"/>
      <x:c r="O148" s="74"/>
      <x:c r="P148" s="74"/>
      <x:c r="Q148" s="74"/>
      <x:c r="R148" s="74"/>
      <x:c r="S148" s="74"/>
      <x:c r="T148" s="74"/>
      <x:c r="U148" s="74"/>
      <x:c r="V148" s="74"/>
    </x:row>
    <x:row r="149">
      <x:c r="A149" s="74"/>
      <x:c r="B149" s="74"/>
      <x:c r="C149" s="74"/>
      <x:c r="D149" s="74"/>
      <x:c r="E149" s="74"/>
      <x:c r="F149" s="74"/>
      <x:c r="G149" s="74"/>
      <x:c r="H149" s="74"/>
      <x:c r="I149" s="74"/>
      <x:c r="J149" s="74"/>
      <x:c r="K149" s="74"/>
      <x:c r="L149" s="74"/>
      <x:c r="M149" s="74"/>
      <x:c r="N149" s="74"/>
      <x:c r="O149" s="74"/>
      <x:c r="P149" s="74"/>
      <x:c r="Q149" s="74"/>
      <x:c r="R149" s="74"/>
      <x:c r="S149" s="74"/>
      <x:c r="T149" s="74"/>
      <x:c r="U149" s="74"/>
      <x:c r="V149" s="74"/>
    </x:row>
    <x:row r="150">
      <x:c r="A150" s="74"/>
      <x:c r="B150" s="74"/>
      <x:c r="C150" s="74"/>
      <x:c r="D150" s="74"/>
      <x:c r="E150" s="74"/>
      <x:c r="F150" s="74"/>
      <x:c r="G150" s="74"/>
      <x:c r="H150" s="74"/>
      <x:c r="I150" s="74"/>
      <x:c r="J150" s="74"/>
      <x:c r="K150" s="74"/>
      <x:c r="L150" s="74"/>
      <x:c r="M150" s="74"/>
      <x:c r="N150" s="74"/>
      <x:c r="O150" s="74"/>
      <x:c r="P150" s="74"/>
      <x:c r="Q150" s="74"/>
      <x:c r="R150" s="74"/>
      <x:c r="S150" s="74"/>
      <x:c r="T150" s="74"/>
      <x:c r="U150" s="74"/>
      <x:c r="V150" s="74"/>
    </x:row>
    <x:row r="151">
      <x:c r="A151" s="74"/>
      <x:c r="B151" s="74"/>
      <x:c r="C151" s="74"/>
      <x:c r="D151" s="74"/>
      <x:c r="E151" s="74"/>
      <x:c r="F151" s="74"/>
      <x:c r="G151" s="74"/>
      <x:c r="H151" s="74"/>
      <x:c r="I151" s="74"/>
      <x:c r="J151" s="74"/>
      <x:c r="K151" s="74"/>
      <x:c r="L151" s="74"/>
      <x:c r="M151" s="74"/>
      <x:c r="N151" s="74"/>
      <x:c r="O151" s="74"/>
      <x:c r="P151" s="74"/>
      <x:c r="Q151" s="74"/>
      <x:c r="R151" s="74"/>
      <x:c r="S151" s="74"/>
      <x:c r="T151" s="74"/>
      <x:c r="U151" s="74"/>
      <x:c r="V151" s="74"/>
    </x:row>
    <x:row r="152">
      <x:c r="A152" s="74"/>
      <x:c r="B152" s="74"/>
      <x:c r="C152" s="74"/>
      <x:c r="D152" s="74"/>
      <x:c r="E152" s="74"/>
      <x:c r="F152" s="74"/>
      <x:c r="G152" s="74"/>
      <x:c r="H152" s="74"/>
      <x:c r="I152" s="74"/>
      <x:c r="J152" s="74"/>
      <x:c r="K152" s="74"/>
      <x:c r="L152" s="74"/>
      <x:c r="M152" s="74"/>
      <x:c r="N152" s="74"/>
      <x:c r="O152" s="74"/>
      <x:c r="P152" s="74"/>
      <x:c r="Q152" s="74"/>
      <x:c r="R152" s="74"/>
      <x:c r="S152" s="74"/>
      <x:c r="T152" s="74"/>
      <x:c r="U152" s="74"/>
      <x:c r="V152" s="74"/>
    </x:row>
    <x:row r="153">
      <x:c r="A153" s="74"/>
      <x:c r="B153" s="74"/>
      <x:c r="C153" s="74"/>
      <x:c r="D153" s="74"/>
      <x:c r="E153" s="74"/>
      <x:c r="F153" s="74"/>
      <x:c r="G153" s="74"/>
      <x:c r="H153" s="74"/>
      <x:c r="I153" s="74"/>
      <x:c r="J153" s="74"/>
      <x:c r="K153" s="74"/>
      <x:c r="L153" s="74"/>
      <x:c r="M153" s="74"/>
      <x:c r="N153" s="74"/>
      <x:c r="O153" s="74"/>
      <x:c r="P153" s="74"/>
      <x:c r="Q153" s="74"/>
      <x:c r="R153" s="74"/>
      <x:c r="S153" s="74"/>
      <x:c r="T153" s="74"/>
      <x:c r="U153" s="74"/>
      <x:c r="V153" s="74"/>
    </x:row>
    <x:row r="154">
      <x:c r="A154" s="74"/>
      <x:c r="B154" s="74"/>
      <x:c r="C154" s="74"/>
      <x:c r="D154" s="74"/>
      <x:c r="E154" s="74"/>
      <x:c r="F154" s="74"/>
      <x:c r="G154" s="74"/>
      <x:c r="H154" s="74"/>
      <x:c r="I154" s="74"/>
      <x:c r="J154" s="74"/>
      <x:c r="K154" s="74"/>
      <x:c r="L154" s="74"/>
      <x:c r="M154" s="74"/>
      <x:c r="N154" s="74"/>
      <x:c r="O154" s="74"/>
      <x:c r="P154" s="74"/>
      <x:c r="Q154" s="74"/>
      <x:c r="R154" s="74"/>
      <x:c r="S154" s="74"/>
      <x:c r="T154" s="74"/>
      <x:c r="U154" s="74"/>
      <x:c r="V154" s="74"/>
    </x:row>
    <x:row r="155">
      <x:c r="A155" s="74"/>
      <x:c r="B155" s="74"/>
      <x:c r="C155" s="74"/>
      <x:c r="D155" s="74"/>
      <x:c r="E155" s="74"/>
      <x:c r="F155" s="74"/>
      <x:c r="G155" s="74"/>
      <x:c r="H155" s="74"/>
      <x:c r="I155" s="74"/>
      <x:c r="J155" s="74"/>
      <x:c r="K155" s="74"/>
      <x:c r="L155" s="74"/>
      <x:c r="M155" s="74"/>
      <x:c r="N155" s="74"/>
      <x:c r="O155" s="74"/>
      <x:c r="P155" s="74"/>
      <x:c r="Q155" s="74"/>
      <x:c r="R155" s="74"/>
      <x:c r="S155" s="74"/>
      <x:c r="T155" s="74"/>
      <x:c r="U155" s="74"/>
      <x:c r="V155" s="74"/>
    </x:row>
    <x:row r="156">
      <x:c r="A156" s="74"/>
      <x:c r="B156" s="74"/>
      <x:c r="C156" s="74"/>
      <x:c r="D156" s="74"/>
      <x:c r="E156" s="74"/>
      <x:c r="F156" s="74"/>
      <x:c r="G156" s="74"/>
      <x:c r="H156" s="74"/>
      <x:c r="I156" s="74"/>
      <x:c r="J156" s="74"/>
      <x:c r="K156" s="74"/>
      <x:c r="L156" s="74"/>
      <x:c r="M156" s="74"/>
      <x:c r="N156" s="74"/>
      <x:c r="O156" s="74"/>
      <x:c r="P156" s="74"/>
      <x:c r="Q156" s="74"/>
      <x:c r="R156" s="74"/>
      <x:c r="S156" s="74"/>
      <x:c r="T156" s="74"/>
      <x:c r="U156" s="74"/>
      <x:c r="V156" s="74"/>
    </x:row>
    <x:row r="157">
      <x:c r="A157" s="74"/>
      <x:c r="B157" s="74"/>
      <x:c r="C157" s="74"/>
      <x:c r="D157" s="74"/>
      <x:c r="E157" s="74"/>
      <x:c r="F157" s="74"/>
      <x:c r="G157" s="74"/>
      <x:c r="H157" s="74"/>
      <x:c r="I157" s="74"/>
      <x:c r="J157" s="74"/>
      <x:c r="K157" s="74"/>
      <x:c r="L157" s="74"/>
      <x:c r="M157" s="74"/>
      <x:c r="N157" s="74"/>
      <x:c r="O157" s="74"/>
      <x:c r="P157" s="74"/>
      <x:c r="Q157" s="74"/>
      <x:c r="R157" s="74"/>
      <x:c r="S157" s="74"/>
      <x:c r="T157" s="74"/>
      <x:c r="U157" s="74"/>
      <x:c r="V157" s="74"/>
    </x:row>
    <x:row r="158">
      <x:c r="A158" s="74"/>
      <x:c r="B158" s="74"/>
      <x:c r="C158" s="74"/>
      <x:c r="D158" s="74"/>
      <x:c r="E158" s="74"/>
      <x:c r="F158" s="74"/>
      <x:c r="G158" s="74"/>
      <x:c r="H158" s="74"/>
      <x:c r="I158" s="74"/>
      <x:c r="J158" s="74"/>
      <x:c r="K158" s="74"/>
      <x:c r="L158" s="74"/>
      <x:c r="M158" s="74"/>
      <x:c r="N158" s="74"/>
      <x:c r="O158" s="74"/>
      <x:c r="P158" s="74"/>
      <x:c r="Q158" s="74"/>
      <x:c r="R158" s="74"/>
      <x:c r="S158" s="74"/>
      <x:c r="T158" s="74"/>
      <x:c r="U158" s="74"/>
      <x:c r="V158" s="74"/>
    </x:row>
    <x:row r="159">
      <x:c r="A159" s="74"/>
      <x:c r="B159" s="74"/>
      <x:c r="C159" s="74"/>
      <x:c r="D159" s="74"/>
      <x:c r="E159" s="74"/>
      <x:c r="F159" s="74"/>
      <x:c r="G159" s="74"/>
      <x:c r="H159" s="74"/>
      <x:c r="I159" s="74"/>
      <x:c r="J159" s="74"/>
      <x:c r="K159" s="74"/>
      <x:c r="L159" s="74"/>
      <x:c r="M159" s="74"/>
      <x:c r="N159" s="74"/>
      <x:c r="O159" s="74"/>
      <x:c r="P159" s="74"/>
      <x:c r="Q159" s="74"/>
      <x:c r="R159" s="74"/>
      <x:c r="S159" s="74"/>
      <x:c r="T159" s="74"/>
      <x:c r="U159" s="74"/>
      <x:c r="V159" s="74"/>
    </x:row>
    <x:row r="160">
      <x:c r="A160" s="74"/>
      <x:c r="B160" s="74"/>
      <x:c r="C160" s="74"/>
      <x:c r="D160" s="74"/>
      <x:c r="E160" s="74"/>
      <x:c r="F160" s="74"/>
      <x:c r="G160" s="74"/>
      <x:c r="H160" s="74"/>
      <x:c r="I160" s="74"/>
      <x:c r="J160" s="74"/>
      <x:c r="K160" s="74"/>
      <x:c r="L160" s="74"/>
      <x:c r="M160" s="74"/>
      <x:c r="N160" s="74"/>
      <x:c r="O160" s="74"/>
      <x:c r="P160" s="74"/>
      <x:c r="Q160" s="74"/>
      <x:c r="R160" s="74"/>
      <x:c r="S160" s="74"/>
      <x:c r="T160" s="74"/>
      <x:c r="U160" s="74"/>
      <x:c r="V160" s="74"/>
    </x:row>
    <x:row r="161">
      <x:c r="A161" s="74"/>
      <x:c r="B161" s="74"/>
      <x:c r="C161" s="74"/>
      <x:c r="D161" s="74"/>
      <x:c r="E161" s="74"/>
      <x:c r="F161" s="74"/>
      <x:c r="G161" s="74"/>
      <x:c r="H161" s="74"/>
      <x:c r="I161" s="74"/>
      <x:c r="J161" s="74"/>
      <x:c r="K161" s="74"/>
      <x:c r="L161" s="74"/>
      <x:c r="M161" s="74"/>
      <x:c r="N161" s="74"/>
      <x:c r="O161" s="74"/>
      <x:c r="P161" s="74"/>
      <x:c r="Q161" s="74"/>
      <x:c r="R161" s="74"/>
      <x:c r="S161" s="74"/>
      <x:c r="T161" s="74"/>
      <x:c r="U161" s="74"/>
      <x:c r="V161" s="74"/>
    </x:row>
    <x:row r="162">
      <x:c r="A162" s="74"/>
      <x:c r="B162" s="74"/>
      <x:c r="C162" s="74"/>
      <x:c r="D162" s="74"/>
      <x:c r="E162" s="74"/>
      <x:c r="F162" s="74"/>
      <x:c r="G162" s="74"/>
      <x:c r="H162" s="74"/>
      <x:c r="I162" s="74"/>
      <x:c r="J162" s="74"/>
      <x:c r="K162" s="74"/>
      <x:c r="L162" s="74"/>
      <x:c r="M162" s="74"/>
      <x:c r="N162" s="74"/>
      <x:c r="O162" s="74"/>
      <x:c r="P162" s="74"/>
      <x:c r="Q162" s="74"/>
      <x:c r="R162" s="74"/>
      <x:c r="S162" s="74"/>
      <x:c r="T162" s="74"/>
      <x:c r="U162" s="74"/>
      <x:c r="V162" s="74"/>
    </x:row>
    <x:row r="163">
      <x:c r="A163" s="74"/>
      <x:c r="B163" s="74"/>
      <x:c r="C163" s="74"/>
      <x:c r="D163" s="74"/>
      <x:c r="E163" s="74"/>
      <x:c r="F163" s="74"/>
      <x:c r="G163" s="74"/>
      <x:c r="H163" s="74"/>
      <x:c r="I163" s="74"/>
      <x:c r="J163" s="74"/>
      <x:c r="K163" s="74"/>
      <x:c r="L163" s="74"/>
      <x:c r="M163" s="74"/>
      <x:c r="N163" s="74"/>
      <x:c r="O163" s="74"/>
      <x:c r="P163" s="74"/>
      <x:c r="Q163" s="74"/>
      <x:c r="R163" s="74"/>
      <x:c r="S163" s="74"/>
      <x:c r="T163" s="74"/>
      <x:c r="U163" s="74"/>
      <x:c r="V163" s="74"/>
    </x:row>
    <x:row r="164">
      <x:c r="A164" s="74"/>
      <x:c r="B164" s="74"/>
      <x:c r="C164" s="74"/>
      <x:c r="D164" s="74"/>
      <x:c r="E164" s="74"/>
      <x:c r="F164" s="74"/>
      <x:c r="G164" s="74"/>
      <x:c r="H164" s="74"/>
      <x:c r="I164" s="74"/>
      <x:c r="J164" s="74"/>
      <x:c r="K164" s="74"/>
      <x:c r="L164" s="74"/>
      <x:c r="M164" s="74"/>
      <x:c r="N164" s="74"/>
      <x:c r="O164" s="74"/>
      <x:c r="P164" s="74"/>
      <x:c r="Q164" s="74"/>
      <x:c r="R164" s="74"/>
      <x:c r="S164" s="74"/>
      <x:c r="T164" s="74"/>
      <x:c r="U164" s="74"/>
      <x:c r="V164" s="74"/>
    </x:row>
    <x:row r="165">
      <x:c r="A165" s="74"/>
      <x:c r="B165" s="74"/>
      <x:c r="C165" s="74"/>
      <x:c r="D165" s="74"/>
      <x:c r="E165" s="74"/>
      <x:c r="F165" s="74"/>
      <x:c r="G165" s="74"/>
      <x:c r="H165" s="74"/>
      <x:c r="I165" s="74"/>
      <x:c r="J165" s="74"/>
      <x:c r="K165" s="74"/>
      <x:c r="L165" s="74"/>
      <x:c r="M165" s="74"/>
      <x:c r="N165" s="74"/>
      <x:c r="O165" s="74"/>
      <x:c r="P165" s="74"/>
      <x:c r="Q165" s="74"/>
      <x:c r="R165" s="74"/>
      <x:c r="S165" s="74"/>
      <x:c r="T165" s="74"/>
      <x:c r="U165" s="74"/>
      <x:c r="V165" s="74"/>
    </x:row>
    <x:row r="166">
      <x:c r="A166" s="74"/>
      <x:c r="B166" s="74"/>
      <x:c r="C166" s="74"/>
      <x:c r="D166" s="74"/>
      <x:c r="E166" s="74"/>
      <x:c r="F166" s="74"/>
      <x:c r="G166" s="74"/>
      <x:c r="H166" s="74"/>
      <x:c r="I166" s="74"/>
      <x:c r="J166" s="74"/>
      <x:c r="K166" s="74"/>
      <x:c r="L166" s="74"/>
      <x:c r="M166" s="74"/>
      <x:c r="N166" s="74"/>
      <x:c r="O166" s="74"/>
      <x:c r="P166" s="74"/>
      <x:c r="Q166" s="74"/>
      <x:c r="R166" s="74"/>
      <x:c r="S166" s="74"/>
      <x:c r="T166" s="74"/>
      <x:c r="U166" s="74"/>
      <x:c r="V166" s="74"/>
    </x:row>
    <x:row r="167">
      <x:c r="A167" s="74"/>
      <x:c r="B167" s="74"/>
      <x:c r="C167" s="74"/>
      <x:c r="D167" s="74"/>
      <x:c r="E167" s="74"/>
      <x:c r="F167" s="74"/>
      <x:c r="G167" s="74"/>
      <x:c r="H167" s="74"/>
      <x:c r="I167" s="74"/>
      <x:c r="J167" s="74"/>
      <x:c r="K167" s="74"/>
      <x:c r="L167" s="74"/>
      <x:c r="M167" s="74"/>
      <x:c r="N167" s="74"/>
      <x:c r="O167" s="74"/>
      <x:c r="P167" s="74"/>
      <x:c r="Q167" s="74"/>
      <x:c r="R167" s="74"/>
      <x:c r="S167" s="74"/>
      <x:c r="T167" s="74"/>
      <x:c r="U167" s="74"/>
      <x:c r="V167" s="74"/>
    </x:row>
    <x:row r="168">
      <x:c r="A168" s="74"/>
      <x:c r="B168" s="74"/>
      <x:c r="C168" s="74"/>
      <x:c r="D168" s="74"/>
      <x:c r="E168" s="74"/>
      <x:c r="F168" s="74"/>
      <x:c r="G168" s="74"/>
      <x:c r="H168" s="74"/>
      <x:c r="I168" s="74"/>
      <x:c r="J168" s="74"/>
      <x:c r="K168" s="74"/>
      <x:c r="L168" s="74"/>
      <x:c r="M168" s="74"/>
      <x:c r="N168" s="74"/>
      <x:c r="O168" s="74"/>
      <x:c r="P168" s="74"/>
      <x:c r="Q168" s="74"/>
      <x:c r="R168" s="74"/>
      <x:c r="S168" s="74"/>
      <x:c r="T168" s="74"/>
      <x:c r="U168" s="74"/>
      <x:c r="V168" s="74"/>
    </x:row>
    <x:row r="169">
      <x:c r="A169" s="74"/>
      <x:c r="B169" s="74"/>
      <x:c r="C169" s="74"/>
      <x:c r="D169" s="74"/>
      <x:c r="E169" s="74"/>
      <x:c r="F169" s="74"/>
      <x:c r="G169" s="74"/>
      <x:c r="H169" s="74"/>
      <x:c r="I169" s="74"/>
      <x:c r="J169" s="74"/>
      <x:c r="K169" s="74"/>
      <x:c r="L169" s="74"/>
      <x:c r="M169" s="74"/>
      <x:c r="N169" s="74"/>
      <x:c r="O169" s="74"/>
      <x:c r="P169" s="74"/>
      <x:c r="Q169" s="74"/>
      <x:c r="R169" s="74"/>
      <x:c r="S169" s="74"/>
      <x:c r="T169" s="74"/>
      <x:c r="U169" s="74"/>
      <x:c r="V169" s="74"/>
    </x:row>
    <x:row r="170">
      <x:c r="A170" s="74"/>
      <x:c r="B170" s="74"/>
      <x:c r="C170" s="74"/>
      <x:c r="D170" s="74"/>
      <x:c r="E170" s="74"/>
      <x:c r="F170" s="74"/>
      <x:c r="G170" s="74"/>
      <x:c r="H170" s="74"/>
      <x:c r="I170" s="74"/>
      <x:c r="J170" s="74"/>
      <x:c r="K170" s="74"/>
      <x:c r="L170" s="74"/>
      <x:c r="M170" s="74"/>
      <x:c r="N170" s="74"/>
      <x:c r="O170" s="74"/>
      <x:c r="P170" s="74"/>
      <x:c r="Q170" s="74"/>
      <x:c r="R170" s="74"/>
      <x:c r="S170" s="74"/>
      <x:c r="T170" s="74"/>
      <x:c r="U170" s="74"/>
      <x:c r="V170" s="74"/>
    </x:row>
    <x:row r="171">
      <x:c r="A171" s="74"/>
      <x:c r="B171" s="74"/>
      <x:c r="C171" s="74"/>
      <x:c r="D171" s="74"/>
      <x:c r="E171" s="74"/>
      <x:c r="F171" s="74"/>
      <x:c r="G171" s="74"/>
      <x:c r="H171" s="74"/>
      <x:c r="I171" s="74"/>
      <x:c r="J171" s="74"/>
      <x:c r="K171" s="74"/>
      <x:c r="L171" s="74"/>
      <x:c r="M171" s="74"/>
      <x:c r="N171" s="74"/>
      <x:c r="O171" s="74"/>
      <x:c r="P171" s="74"/>
      <x:c r="Q171" s="74"/>
      <x:c r="R171" s="74"/>
      <x:c r="S171" s="74"/>
      <x:c r="T171" s="74"/>
      <x:c r="U171" s="74"/>
      <x:c r="V171" s="74"/>
    </x:row>
    <x:row r="172">
      <x:c r="A172" s="74"/>
      <x:c r="B172" s="74"/>
      <x:c r="C172" s="74"/>
      <x:c r="D172" s="74"/>
      <x:c r="E172" s="74"/>
      <x:c r="F172" s="74"/>
      <x:c r="G172" s="74"/>
      <x:c r="H172" s="74"/>
      <x:c r="I172" s="74"/>
      <x:c r="J172" s="74"/>
      <x:c r="K172" s="74"/>
      <x:c r="L172" s="74"/>
      <x:c r="M172" s="74"/>
      <x:c r="N172" s="74"/>
      <x:c r="O172" s="74"/>
      <x:c r="P172" s="74"/>
      <x:c r="Q172" s="74"/>
      <x:c r="R172" s="74"/>
      <x:c r="S172" s="74"/>
      <x:c r="T172" s="74"/>
      <x:c r="U172" s="74"/>
      <x:c r="V172" s="74"/>
    </x:row>
    <x:row r="173">
      <x:c r="A173" s="74"/>
      <x:c r="B173" s="74"/>
      <x:c r="C173" s="74"/>
      <x:c r="D173" s="74"/>
      <x:c r="E173" s="74"/>
      <x:c r="F173" s="74"/>
      <x:c r="G173" s="74"/>
      <x:c r="H173" s="74"/>
      <x:c r="I173" s="74"/>
      <x:c r="J173" s="74"/>
      <x:c r="K173" s="74"/>
      <x:c r="L173" s="74"/>
      <x:c r="M173" s="74"/>
      <x:c r="N173" s="74"/>
      <x:c r="O173" s="74"/>
      <x:c r="P173" s="74"/>
      <x:c r="Q173" s="74"/>
      <x:c r="R173" s="74"/>
      <x:c r="S173" s="74"/>
      <x:c r="T173" s="74"/>
      <x:c r="U173" s="74"/>
      <x:c r="V173" s="74"/>
    </x:row>
    <x:row r="174">
      <x:c r="A174" s="74"/>
      <x:c r="B174" s="74"/>
      <x:c r="C174" s="74"/>
      <x:c r="D174" s="74"/>
      <x:c r="E174" s="74"/>
      <x:c r="F174" s="74"/>
      <x:c r="G174" s="74"/>
      <x:c r="H174" s="74"/>
      <x:c r="I174" s="74"/>
      <x:c r="J174" s="74"/>
      <x:c r="K174" s="74"/>
      <x:c r="L174" s="74"/>
      <x:c r="M174" s="74"/>
      <x:c r="N174" s="74"/>
      <x:c r="O174" s="74"/>
      <x:c r="P174" s="74"/>
      <x:c r="Q174" s="74"/>
      <x:c r="R174" s="74"/>
      <x:c r="S174" s="74"/>
      <x:c r="T174" s="74"/>
      <x:c r="U174" s="74"/>
      <x:c r="V174" s="74"/>
    </x:row>
    <x:row r="175">
      <x:c r="A175" s="74"/>
      <x:c r="B175" s="74"/>
      <x:c r="C175" s="74"/>
      <x:c r="D175" s="74"/>
      <x:c r="E175" s="74"/>
      <x:c r="F175" s="74"/>
      <x:c r="G175" s="74"/>
      <x:c r="H175" s="74"/>
      <x:c r="I175" s="74"/>
      <x:c r="J175" s="74"/>
      <x:c r="K175" s="74"/>
      <x:c r="L175" s="74"/>
      <x:c r="M175" s="74"/>
      <x:c r="N175" s="74"/>
      <x:c r="O175" s="74"/>
      <x:c r="P175" s="74"/>
      <x:c r="Q175" s="74"/>
      <x:c r="R175" s="74"/>
      <x:c r="S175" s="74"/>
      <x:c r="T175" s="74"/>
      <x:c r="U175" s="74"/>
      <x:c r="V175" s="74"/>
    </x:row>
    <x:row r="176">
      <x:c r="A176" s="74"/>
      <x:c r="B176" s="74"/>
      <x:c r="C176" s="74"/>
      <x:c r="D176" s="74"/>
      <x:c r="E176" s="74"/>
      <x:c r="F176" s="74"/>
      <x:c r="G176" s="74"/>
      <x:c r="H176" s="74"/>
      <x:c r="I176" s="74"/>
      <x:c r="J176" s="74"/>
      <x:c r="K176" s="74"/>
      <x:c r="L176" s="74"/>
      <x:c r="M176" s="74"/>
      <x:c r="N176" s="74"/>
      <x:c r="O176" s="74"/>
      <x:c r="P176" s="74"/>
      <x:c r="Q176" s="74"/>
      <x:c r="R176" s="74"/>
      <x:c r="S176" s="74"/>
      <x:c r="T176" s="74"/>
      <x:c r="U176" s="74"/>
      <x:c r="V176" s="74"/>
    </x:row>
    <x:row r="177">
      <x:c r="A177" s="74"/>
      <x:c r="B177" s="74"/>
      <x:c r="C177" s="74"/>
      <x:c r="D177" s="74"/>
      <x:c r="E177" s="74"/>
      <x:c r="F177" s="74"/>
      <x:c r="G177" s="74"/>
      <x:c r="H177" s="74"/>
      <x:c r="I177" s="74"/>
      <x:c r="J177" s="74"/>
      <x:c r="K177" s="74"/>
      <x:c r="L177" s="74"/>
      <x:c r="M177" s="74"/>
      <x:c r="N177" s="74"/>
      <x:c r="O177" s="74"/>
      <x:c r="P177" s="74"/>
      <x:c r="Q177" s="74"/>
      <x:c r="R177" s="74"/>
      <x:c r="S177" s="74"/>
      <x:c r="T177" s="74"/>
      <x:c r="U177" s="74"/>
      <x:c r="V177" s="74"/>
    </x:row>
    <x:row r="178">
      <x:c r="A178" s="74"/>
      <x:c r="B178" s="74"/>
      <x:c r="C178" s="74"/>
      <x:c r="D178" s="74"/>
      <x:c r="E178" s="74"/>
      <x:c r="F178" s="74"/>
      <x:c r="G178" s="74"/>
      <x:c r="H178" s="74"/>
      <x:c r="I178" s="74"/>
      <x:c r="J178" s="74"/>
      <x:c r="K178" s="74"/>
      <x:c r="L178" s="74"/>
      <x:c r="M178" s="74"/>
      <x:c r="N178" s="74"/>
      <x:c r="O178" s="74"/>
      <x:c r="P178" s="74"/>
      <x:c r="Q178" s="74"/>
      <x:c r="R178" s="74"/>
      <x:c r="S178" s="74"/>
      <x:c r="T178" s="74"/>
      <x:c r="U178" s="74"/>
      <x:c r="V178" s="74"/>
    </x:row>
    <x:row r="179">
      <x:c r="A179" s="74"/>
      <x:c r="B179" s="74"/>
      <x:c r="C179" s="74"/>
      <x:c r="D179" s="74"/>
      <x:c r="E179" s="74"/>
      <x:c r="F179" s="74"/>
      <x:c r="G179" s="74"/>
      <x:c r="H179" s="74"/>
      <x:c r="I179" s="74"/>
      <x:c r="J179" s="74"/>
      <x:c r="K179" s="74"/>
      <x:c r="L179" s="74"/>
      <x:c r="M179" s="74"/>
      <x:c r="N179" s="74"/>
      <x:c r="O179" s="74"/>
      <x:c r="P179" s="74"/>
      <x:c r="Q179" s="74"/>
      <x:c r="R179" s="74"/>
      <x:c r="S179" s="74"/>
      <x:c r="T179" s="74"/>
      <x:c r="U179" s="74"/>
      <x:c r="V179" s="74"/>
    </x:row>
    <x:row r="180">
      <x:c r="A180" s="74"/>
      <x:c r="B180" s="74"/>
      <x:c r="C180" s="74"/>
      <x:c r="D180" s="74"/>
      <x:c r="E180" s="74"/>
      <x:c r="F180" s="74"/>
      <x:c r="G180" s="74"/>
      <x:c r="H180" s="74"/>
      <x:c r="I180" s="74"/>
      <x:c r="J180" s="74"/>
      <x:c r="K180" s="74"/>
      <x:c r="L180" s="74"/>
      <x:c r="M180" s="74"/>
      <x:c r="N180" s="74"/>
      <x:c r="O180" s="74"/>
      <x:c r="P180" s="74"/>
      <x:c r="Q180" s="74"/>
      <x:c r="R180" s="74"/>
      <x:c r="S180" s="74"/>
      <x:c r="T180" s="74"/>
      <x:c r="U180" s="74"/>
      <x:c r="V180" s="74"/>
    </x:row>
    <x:row r="181">
      <x:c r="A181" s="74"/>
      <x:c r="B181" s="74"/>
      <x:c r="C181" s="74"/>
      <x:c r="D181" s="74"/>
      <x:c r="E181" s="74"/>
      <x:c r="F181" s="74"/>
      <x:c r="G181" s="74"/>
      <x:c r="H181" s="74"/>
      <x:c r="I181" s="74"/>
      <x:c r="J181" s="74"/>
      <x:c r="K181" s="74"/>
      <x:c r="L181" s="74"/>
      <x:c r="M181" s="74"/>
      <x:c r="N181" s="74"/>
      <x:c r="O181" s="74"/>
      <x:c r="P181" s="74"/>
      <x:c r="Q181" s="74"/>
      <x:c r="R181" s="74"/>
      <x:c r="S181" s="74"/>
      <x:c r="T181" s="74"/>
      <x:c r="U181" s="74"/>
      <x:c r="V181" s="74"/>
    </x:row>
    <x:row r="182">
      <x:c r="A182" s="74"/>
      <x:c r="B182" s="74"/>
      <x:c r="C182" s="74"/>
      <x:c r="D182" s="74"/>
      <x:c r="E182" s="74"/>
      <x:c r="F182" s="74"/>
      <x:c r="G182" s="74"/>
      <x:c r="H182" s="74"/>
      <x:c r="I182" s="74"/>
      <x:c r="J182" s="74"/>
      <x:c r="K182" s="74"/>
      <x:c r="L182" s="74"/>
      <x:c r="M182" s="74"/>
      <x:c r="N182" s="74"/>
      <x:c r="O182" s="74"/>
      <x:c r="P182" s="74"/>
      <x:c r="Q182" s="74"/>
      <x:c r="R182" s="74"/>
      <x:c r="S182" s="74"/>
      <x:c r="T182" s="74"/>
      <x:c r="U182" s="74"/>
      <x:c r="V182" s="74"/>
    </x:row>
    <x:row r="183">
      <x:c r="A183" s="74"/>
      <x:c r="B183" s="74"/>
      <x:c r="C183" s="74"/>
      <x:c r="D183" s="74"/>
      <x:c r="E183" s="74"/>
      <x:c r="F183" s="74"/>
      <x:c r="G183" s="74"/>
      <x:c r="H183" s="74"/>
      <x:c r="I183" s="74"/>
      <x:c r="J183" s="74"/>
      <x:c r="K183" s="74"/>
      <x:c r="L183" s="74"/>
      <x:c r="M183" s="74"/>
      <x:c r="N183" s="74"/>
      <x:c r="O183" s="74"/>
      <x:c r="P183" s="74"/>
      <x:c r="Q183" s="74"/>
      <x:c r="R183" s="74"/>
      <x:c r="S183" s="74"/>
      <x:c r="T183" s="74"/>
      <x:c r="U183" s="74"/>
      <x:c r="V183" s="74"/>
    </x:row>
    <x:row r="184">
      <x:c r="A184" s="74"/>
      <x:c r="B184" s="74"/>
      <x:c r="C184" s="74"/>
      <x:c r="D184" s="74"/>
      <x:c r="E184" s="74"/>
      <x:c r="F184" s="74"/>
      <x:c r="G184" s="74"/>
      <x:c r="H184" s="74"/>
      <x:c r="I184" s="74"/>
      <x:c r="J184" s="74"/>
      <x:c r="K184" s="74"/>
      <x:c r="L184" s="74"/>
      <x:c r="M184" s="74"/>
      <x:c r="N184" s="74"/>
      <x:c r="O184" s="74"/>
      <x:c r="P184" s="74"/>
      <x:c r="Q184" s="74"/>
      <x:c r="R184" s="74"/>
      <x:c r="S184" s="74"/>
      <x:c r="T184" s="74"/>
      <x:c r="U184" s="74"/>
      <x:c r="V184" s="74"/>
    </x:row>
    <x:row r="185">
      <x:c r="A185" s="74"/>
      <x:c r="B185" s="74"/>
      <x:c r="C185" s="74"/>
      <x:c r="D185" s="74"/>
      <x:c r="E185" s="74"/>
      <x:c r="F185" s="74"/>
      <x:c r="G185" s="74"/>
      <x:c r="H185" s="74"/>
      <x:c r="I185" s="74"/>
      <x:c r="J185" s="74"/>
      <x:c r="K185" s="74"/>
      <x:c r="L185" s="74"/>
      <x:c r="M185" s="74"/>
      <x:c r="N185" s="74"/>
      <x:c r="O185" s="74"/>
      <x:c r="P185" s="74"/>
      <x:c r="Q185" s="74"/>
      <x:c r="R185" s="74"/>
      <x:c r="S185" s="74"/>
      <x:c r="T185" s="74"/>
      <x:c r="U185" s="74"/>
      <x:c r="V185" s="74"/>
    </x:row>
    <x:row r="186">
      <x:c r="A186" s="74"/>
      <x:c r="B186" s="74"/>
      <x:c r="C186" s="74"/>
      <x:c r="D186" s="74"/>
      <x:c r="E186" s="74"/>
      <x:c r="F186" s="74"/>
      <x:c r="G186" s="74"/>
      <x:c r="H186" s="74"/>
      <x:c r="I186" s="74"/>
      <x:c r="J186" s="74"/>
      <x:c r="K186" s="74"/>
      <x:c r="L186" s="74"/>
      <x:c r="M186" s="74"/>
      <x:c r="N186" s="74"/>
      <x:c r="O186" s="74"/>
      <x:c r="P186" s="74"/>
      <x:c r="Q186" s="74"/>
      <x:c r="R186" s="74"/>
      <x:c r="S186" s="74"/>
      <x:c r="T186" s="74"/>
      <x:c r="U186" s="74"/>
      <x:c r="V186" s="74"/>
    </x:row>
    <x:row r="187">
      <x:c r="A187" s="74"/>
      <x:c r="B187" s="74"/>
      <x:c r="C187" s="74"/>
      <x:c r="D187" s="74"/>
      <x:c r="E187" s="74"/>
      <x:c r="F187" s="74"/>
      <x:c r="G187" s="74"/>
      <x:c r="H187" s="74"/>
      <x:c r="I187" s="74"/>
      <x:c r="J187" s="74"/>
      <x:c r="K187" s="74"/>
      <x:c r="L187" s="74"/>
      <x:c r="M187" s="74"/>
      <x:c r="N187" s="74"/>
      <x:c r="O187" s="74"/>
      <x:c r="P187" s="74"/>
      <x:c r="Q187" s="74"/>
      <x:c r="R187" s="74"/>
      <x:c r="S187" s="74"/>
      <x:c r="T187" s="74"/>
      <x:c r="U187" s="74"/>
      <x:c r="V187" s="74"/>
    </x:row>
    <x:row r="188">
      <x:c r="A188" s="74"/>
      <x:c r="B188" s="74"/>
      <x:c r="C188" s="74"/>
      <x:c r="D188" s="74"/>
      <x:c r="E188" s="74"/>
      <x:c r="F188" s="74"/>
      <x:c r="G188" s="74"/>
      <x:c r="H188" s="74"/>
      <x:c r="I188" s="74"/>
      <x:c r="J188" s="74"/>
      <x:c r="K188" s="74"/>
      <x:c r="L188" s="74"/>
      <x:c r="M188" s="74"/>
      <x:c r="N188" s="74"/>
      <x:c r="O188" s="74"/>
      <x:c r="P188" s="74"/>
      <x:c r="Q188" s="74"/>
      <x:c r="R188" s="74"/>
      <x:c r="S188" s="74"/>
      <x:c r="T188" s="74"/>
      <x:c r="U188" s="74"/>
      <x:c r="V188" s="74"/>
    </x:row>
    <x:row r="189">
      <x:c r="A189" s="74"/>
      <x:c r="B189" s="74"/>
      <x:c r="C189" s="74"/>
      <x:c r="D189" s="74"/>
      <x:c r="E189" s="74"/>
      <x:c r="F189" s="74"/>
      <x:c r="G189" s="74"/>
      <x:c r="H189" s="74"/>
      <x:c r="I189" s="74"/>
      <x:c r="J189" s="74"/>
      <x:c r="K189" s="74"/>
      <x:c r="L189" s="74"/>
      <x:c r="M189" s="74"/>
      <x:c r="N189" s="74"/>
      <x:c r="O189" s="74"/>
      <x:c r="P189" s="74"/>
      <x:c r="Q189" s="74"/>
      <x:c r="R189" s="74"/>
      <x:c r="S189" s="74"/>
      <x:c r="T189" s="74"/>
      <x:c r="U189" s="74"/>
      <x:c r="V189" s="74"/>
    </x:row>
    <x:row r="190">
      <x:c r="A190" s="74"/>
      <x:c r="B190" s="74"/>
      <x:c r="C190" s="74"/>
      <x:c r="D190" s="74"/>
      <x:c r="E190" s="74"/>
      <x:c r="F190" s="74"/>
      <x:c r="G190" s="74"/>
      <x:c r="H190" s="74"/>
      <x:c r="I190" s="74"/>
      <x:c r="J190" s="74"/>
      <x:c r="K190" s="74"/>
      <x:c r="L190" s="74"/>
      <x:c r="M190" s="74"/>
      <x:c r="N190" s="74"/>
      <x:c r="O190" s="74"/>
      <x:c r="P190" s="74"/>
      <x:c r="Q190" s="74"/>
      <x:c r="R190" s="74"/>
      <x:c r="S190" s="74"/>
      <x:c r="T190" s="74"/>
      <x:c r="U190" s="74"/>
      <x:c r="V190" s="74"/>
    </x:row>
    <x:row r="191">
      <x:c r="A191" s="74"/>
      <x:c r="B191" s="74"/>
      <x:c r="C191" s="74"/>
      <x:c r="D191" s="74"/>
      <x:c r="E191" s="74"/>
      <x:c r="F191" s="74"/>
      <x:c r="G191" s="74"/>
      <x:c r="H191" s="74"/>
      <x:c r="I191" s="74"/>
      <x:c r="J191" s="74"/>
      <x:c r="K191" s="74"/>
      <x:c r="L191" s="74"/>
      <x:c r="M191" s="74"/>
      <x:c r="N191" s="74"/>
      <x:c r="O191" s="74"/>
      <x:c r="P191" s="74"/>
      <x:c r="Q191" s="74"/>
      <x:c r="R191" s="74"/>
      <x:c r="S191" s="74"/>
      <x:c r="T191" s="74"/>
      <x:c r="U191" s="74"/>
      <x:c r="V191" s="74"/>
    </x:row>
    <x:row r="192">
      <x:c r="A192" s="74"/>
      <x:c r="B192" s="74"/>
      <x:c r="C192" s="74"/>
      <x:c r="D192" s="74"/>
      <x:c r="E192" s="74"/>
      <x:c r="F192" s="74"/>
      <x:c r="G192" s="74"/>
      <x:c r="H192" s="74"/>
      <x:c r="I192" s="74"/>
      <x:c r="J192" s="74"/>
      <x:c r="K192" s="74"/>
      <x:c r="L192" s="74"/>
      <x:c r="M192" s="74"/>
      <x:c r="N192" s="74"/>
      <x:c r="O192" s="74"/>
      <x:c r="P192" s="74"/>
      <x:c r="Q192" s="74"/>
      <x:c r="R192" s="74"/>
      <x:c r="S192" s="74"/>
      <x:c r="T192" s="74"/>
      <x:c r="U192" s="74"/>
      <x:c r="V192" s="74"/>
    </x:row>
    <x:row r="193">
      <x:c r="A193" s="74"/>
      <x:c r="B193" s="74"/>
      <x:c r="C193" s="74"/>
      <x:c r="D193" s="74"/>
      <x:c r="E193" s="74"/>
      <x:c r="F193" s="74"/>
      <x:c r="G193" s="74"/>
      <x:c r="H193" s="74"/>
      <x:c r="I193" s="74"/>
      <x:c r="J193" s="74"/>
      <x:c r="K193" s="74"/>
      <x:c r="L193" s="74"/>
      <x:c r="M193" s="74"/>
      <x:c r="N193" s="74"/>
      <x:c r="O193" s="74"/>
      <x:c r="P193" s="74"/>
      <x:c r="Q193" s="74"/>
      <x:c r="R193" s="74"/>
      <x:c r="S193" s="74"/>
      <x:c r="T193" s="74"/>
      <x:c r="U193" s="74"/>
      <x:c r="V193" s="74"/>
    </x:row>
    <x:row r="194">
      <x:c r="A194" s="74"/>
      <x:c r="B194" s="74"/>
      <x:c r="C194" s="74"/>
      <x:c r="D194" s="74"/>
      <x:c r="E194" s="74"/>
      <x:c r="F194" s="74"/>
      <x:c r="G194" s="74"/>
      <x:c r="H194" s="74"/>
      <x:c r="I194" s="74"/>
      <x:c r="J194" s="74"/>
      <x:c r="K194" s="74"/>
      <x:c r="L194" s="74"/>
      <x:c r="M194" s="74"/>
      <x:c r="N194" s="74"/>
      <x:c r="O194" s="74"/>
      <x:c r="P194" s="74"/>
      <x:c r="Q194" s="74"/>
      <x:c r="R194" s="74"/>
      <x:c r="S194" s="74"/>
      <x:c r="T194" s="74"/>
      <x:c r="U194" s="74"/>
      <x:c r="V194" s="74"/>
    </x:row>
    <x:row r="195">
      <x:c r="A195" s="74"/>
      <x:c r="B195" s="74"/>
      <x:c r="C195" s="74"/>
      <x:c r="D195" s="74"/>
      <x:c r="E195" s="74"/>
      <x:c r="F195" s="74"/>
      <x:c r="G195" s="74"/>
      <x:c r="H195" s="74"/>
      <x:c r="I195" s="74"/>
      <x:c r="J195" s="74"/>
      <x:c r="K195" s="74"/>
      <x:c r="L195" s="74"/>
      <x:c r="M195" s="74"/>
      <x:c r="N195" s="74"/>
      <x:c r="O195" s="74"/>
      <x:c r="P195" s="74"/>
      <x:c r="Q195" s="74"/>
      <x:c r="R195" s="74"/>
      <x:c r="S195" s="74"/>
      <x:c r="T195" s="74"/>
      <x:c r="U195" s="74"/>
      <x:c r="V195" s="74"/>
    </x:row>
    <x:row r="196">
      <x:c r="A196" s="74"/>
      <x:c r="B196" s="74"/>
      <x:c r="C196" s="74"/>
      <x:c r="D196" s="74"/>
      <x:c r="E196" s="74"/>
      <x:c r="F196" s="74"/>
      <x:c r="G196" s="74"/>
      <x:c r="H196" s="74"/>
      <x:c r="I196" s="74"/>
      <x:c r="J196" s="74"/>
      <x:c r="K196" s="74"/>
      <x:c r="L196" s="74"/>
      <x:c r="M196" s="74"/>
      <x:c r="N196" s="74"/>
      <x:c r="O196" s="74"/>
      <x:c r="P196" s="74"/>
      <x:c r="Q196" s="74"/>
      <x:c r="R196" s="74"/>
      <x:c r="S196" s="74"/>
      <x:c r="T196" s="74"/>
      <x:c r="U196" s="74"/>
      <x:c r="V196" s="74"/>
    </x:row>
    <x:row r="197">
      <x:c r="A197" s="74"/>
      <x:c r="B197" s="74"/>
      <x:c r="C197" s="74"/>
      <x:c r="D197" s="74"/>
      <x:c r="E197" s="74"/>
      <x:c r="F197" s="74"/>
      <x:c r="G197" s="74"/>
      <x:c r="H197" s="74"/>
      <x:c r="I197" s="74"/>
      <x:c r="J197" s="74"/>
      <x:c r="K197" s="74"/>
      <x:c r="L197" s="74"/>
      <x:c r="M197" s="74"/>
      <x:c r="N197" s="74"/>
      <x:c r="O197" s="74"/>
      <x:c r="P197" s="74"/>
      <x:c r="Q197" s="74"/>
      <x:c r="R197" s="74"/>
      <x:c r="S197" s="74"/>
      <x:c r="T197" s="74"/>
      <x:c r="U197" s="74"/>
      <x:c r="V197" s="74"/>
    </x:row>
    <x:row r="198">
      <x:c r="A198" s="74"/>
      <x:c r="B198" s="74"/>
      <x:c r="C198" s="74"/>
      <x:c r="D198" s="74"/>
      <x:c r="E198" s="74"/>
      <x:c r="F198" s="74"/>
      <x:c r="G198" s="74"/>
      <x:c r="H198" s="74"/>
      <x:c r="I198" s="74"/>
      <x:c r="J198" s="74"/>
      <x:c r="K198" s="74"/>
      <x:c r="L198" s="74"/>
      <x:c r="M198" s="74"/>
      <x:c r="N198" s="74"/>
      <x:c r="O198" s="74"/>
      <x:c r="P198" s="74"/>
      <x:c r="Q198" s="74"/>
      <x:c r="R198" s="74"/>
      <x:c r="S198" s="74"/>
      <x:c r="T198" s="74"/>
      <x:c r="U198" s="74"/>
      <x:c r="V198" s="74"/>
    </x:row>
    <x:row r="199">
      <x:c r="A199" s="74"/>
      <x:c r="B199" s="74"/>
      <x:c r="C199" s="74"/>
      <x:c r="D199" s="74"/>
      <x:c r="E199" s="74"/>
      <x:c r="F199" s="74"/>
      <x:c r="G199" s="74"/>
      <x:c r="H199" s="74"/>
      <x:c r="I199" s="74"/>
      <x:c r="J199" s="74"/>
      <x:c r="K199" s="74"/>
      <x:c r="L199" s="74"/>
      <x:c r="M199" s="74"/>
      <x:c r="N199" s="74"/>
      <x:c r="O199" s="74"/>
      <x:c r="P199" s="74"/>
      <x:c r="Q199" s="74"/>
      <x:c r="R199" s="74"/>
      <x:c r="S199" s="74"/>
      <x:c r="T199" s="74"/>
      <x:c r="U199" s="74"/>
      <x:c r="V199" s="74"/>
    </x:row>
    <x:row r="200">
      <x:c r="A200" s="74"/>
      <x:c r="B200" s="74"/>
      <x:c r="C200" s="74"/>
      <x:c r="D200" s="74"/>
      <x:c r="E200" s="74"/>
      <x:c r="F200" s="74"/>
      <x:c r="G200" s="74"/>
      <x:c r="H200" s="74"/>
      <x:c r="I200" s="74"/>
      <x:c r="J200" s="74"/>
      <x:c r="K200" s="74"/>
      <x:c r="L200" s="74"/>
      <x:c r="M200" s="74"/>
      <x:c r="N200" s="74"/>
      <x:c r="O200" s="74"/>
      <x:c r="P200" s="74"/>
      <x:c r="Q200" s="74"/>
      <x:c r="R200" s="74"/>
      <x:c r="S200" s="74"/>
      <x:c r="T200" s="74"/>
      <x:c r="U200" s="74"/>
      <x:c r="V200" s="74"/>
    </x:row>
  </x:sheetData>
  <x:pageMargins left="0.7" right="0.7" top="0.75" bottom="0.75" header="0.3" footer="0.3"/>
  <x:tableParts count="1">
    <x:tablePart xmlns:r="http://schemas.openxmlformats.org/officeDocument/2006/relationships" r:id="Rb9ccf3b5ee06409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72" hidden="0" customWidth="1"/>
    <x:col min="4" max="4" width="58" hidden="0" customWidth="1"/>
  </x:cols>
  <x:sheetData>
    <x:row r="1">
      <x:c r="A1" s="95" t="str">
        <x:v>Rule ID</x:v>
      </x:c>
      <x:c r="B1" s="95" t="str">
        <x:v>대상</x:v>
      </x:c>
      <x:c r="C1" s="95" t="str">
        <x:v>권장 표현·규칙</x:v>
      </x:c>
      <x:c r="D1" s="95" t="str">
        <x:v>금지 표현·오독</x:v>
      </x:c>
      <x:c r="E1" s="74"/>
      <x:c r="F1" s="74"/>
      <x:c r="G1" s="74"/>
      <x:c r="H1" s="74"/>
      <x:c r="I1" s="74"/>
      <x:c r="J1" s="74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</x:row>
    <x:row r="2" ht="46" customHeight="1">
      <x:c r="A2" s="79" t="str">
        <x:v>R01</x:v>
      </x:c>
      <x:c r="B2" s="79" t="str">
        <x:v>정책가치</x:v>
      </x:c>
      <x:c r="C2" s="79" t="str">
        <x:v>첫 등장: ‘검증된 평가기반 내부의 상대 정책가치’</x:v>
      </x:c>
      <x:c r="D2" s="105" t="str">
        <x:v>실제 정책가치·실제 신용개선</x:v>
      </x:c>
      <x:c r="E2" s="74"/>
      <x:c r="F2" s="74"/>
      <x:c r="G2" s="74"/>
      <x:c r="H2" s="74"/>
      <x:c r="I2" s="74"/>
      <x:c r="J2" s="74"/>
      <x:c r="K2" s="74"/>
      <x:c r="L2" s="74"/>
      <x:c r="M2" s="74"/>
      <x:c r="N2" s="74"/>
      <x:c r="O2" s="74"/>
      <x:c r="P2" s="74"/>
      <x:c r="Q2" s="74"/>
      <x:c r="R2" s="74"/>
      <x:c r="S2" s="74"/>
      <x:c r="T2" s="74"/>
      <x:c r="U2" s="74"/>
      <x:c r="V2" s="74"/>
    </x:row>
    <x:row r="3" ht="46" customHeight="1">
      <x:c r="A3" s="79" t="str">
        <x:v>R02</x:v>
      </x:c>
      <x:c r="B3" s="79" t="str">
        <x:v>Candidate-IQL</x:v>
      </x:c>
      <x:c r="C3" s="79" t="str">
        <x:v>‘평가자 출력과 기능적으로 분리된 독립 참조정책’</x:v>
      </x:c>
      <x:c r="D3" s="105" t="str">
        <x:v>외생적 정책·절대 최적정책</x:v>
      </x:c>
      <x:c r="E3" s="74"/>
      <x:c r="F3" s="74"/>
      <x:c r="G3" s="74"/>
      <x:c r="H3" s="74"/>
      <x:c r="I3" s="74"/>
      <x:c r="J3" s="74"/>
      <x:c r="K3" s="74"/>
      <x:c r="L3" s="74"/>
      <x:c r="M3" s="74"/>
      <x:c r="N3" s="74"/>
      <x:c r="O3" s="74"/>
      <x:c r="P3" s="74"/>
      <x:c r="Q3" s="74"/>
      <x:c r="R3" s="74"/>
      <x:c r="S3" s="74"/>
      <x:c r="T3" s="74"/>
      <x:c r="U3" s="74"/>
      <x:c r="V3" s="74"/>
    </x:row>
    <x:row r="4" ht="46" customHeight="1">
      <x:c r="A4" s="79" t="str">
        <x:v>R03</x:v>
      </x:c>
      <x:c r="B4" s="79" t="str">
        <x:v>비예산지시</x:v>
      </x:c>
      <x:c r="C4" s="79" t="str">
        <x:v>‘명시적 총 L1 상한이 없고 행동규모를 자기선택한 조건’</x:v>
      </x:c>
      <x:c r="D4" s="105" t="str">
        <x:v>무제약·무한용량</x:v>
      </x:c>
      <x:c r="E4" s="74"/>
      <x:c r="F4" s="74"/>
      <x:c r="G4" s="74"/>
      <x:c r="H4" s="74"/>
      <x:c r="I4" s="74"/>
      <x:c r="J4" s="74"/>
      <x:c r="K4" s="74"/>
      <x:c r="L4" s="74"/>
      <x:c r="M4" s="74"/>
      <x:c r="N4" s="74"/>
      <x:c r="O4" s="74"/>
      <x:c r="P4" s="74"/>
      <x:c r="Q4" s="74"/>
      <x:c r="R4" s="74"/>
      <x:c r="S4" s="74"/>
      <x:c r="T4" s="74"/>
      <x:c r="U4" s="74"/>
      <x:c r="V4" s="74"/>
    </x:row>
    <x:row r="5" ht="46" customHeight="1">
      <x:c r="A5" s="79" t="str">
        <x:v>R04</x:v>
      </x:c>
      <x:c r="B5" s="79" t="str">
        <x:v>예산효과</x:v>
      </x:c>
      <x:c r="C5" s="79" t="str">
        <x:v>raw 생성형성과 축별 후처리가 결합된 예산계약 효과</x:v>
      </x:c>
      <x:c r="D5" s="105" t="str">
        <x:v>프롬프트 문구만의 순수효과</x:v>
      </x:c>
      <x:c r="E5" s="74"/>
      <x:c r="F5" s="74"/>
      <x:c r="G5" s="74"/>
      <x:c r="H5" s="74"/>
      <x:c r="I5" s="74"/>
      <x:c r="J5" s="74"/>
      <x:c r="K5" s="74"/>
      <x:c r="L5" s="74"/>
      <x:c r="M5" s="74"/>
      <x:c r="N5" s="74"/>
      <x:c r="O5" s="74"/>
      <x:c r="P5" s="74"/>
      <x:c r="Q5" s="74"/>
      <x:c r="R5" s="74"/>
      <x:c r="S5" s="74"/>
      <x:c r="T5" s="74"/>
      <x:c r="U5" s="74"/>
      <x:c r="V5" s="74"/>
    </x:row>
    <x:row r="6" ht="46" customHeight="1">
      <x:c r="A6" s="79" t="str">
        <x:v>R05</x:v>
      </x:c>
      <x:c r="B6" s="79" t="str">
        <x:v>Raw 분석</x:v>
      </x:c>
      <x:c r="C6" s="79" t="str">
        <x:v>메커니즘 분석이며 점수검정은 applied 행동 기준</x:v>
      </x:c>
      <x:c r="D6" s="105" t="str">
        <x:v>raw 행동으로 정책점수 검정</x:v>
      </x:c>
      <x:c r="E6" s="74"/>
      <x:c r="F6" s="74"/>
      <x:c r="G6" s="74"/>
      <x:c r="H6" s="74"/>
      <x:c r="I6" s="74"/>
      <x:c r="J6" s="74"/>
      <x:c r="K6" s="74"/>
      <x:c r="L6" s="74"/>
      <x:c r="M6" s="74"/>
      <x:c r="N6" s="74"/>
      <x:c r="O6" s="74"/>
      <x:c r="P6" s="74"/>
      <x:c r="Q6" s="74"/>
      <x:c r="R6" s="74"/>
      <x:c r="S6" s="74"/>
      <x:c r="T6" s="74"/>
      <x:c r="U6" s="74"/>
      <x:c r="V6" s="74"/>
    </x:row>
    <x:row r="7" ht="46" customHeight="1">
      <x:c r="A7" s="79" t="str">
        <x:v>R06</x:v>
      </x:c>
      <x:c r="B7" s="79" t="str">
        <x:v>C6−C4R</x:v>
      </x:c>
      <x:c r="C7" s="79" t="str">
        <x:v>C4R–C6 matched design에 따른 조건부 참조증분</x:v>
      </x:c>
      <x:c r="D7" s="105" t="str">
        <x:v>C6X가 식별 전제</x:v>
      </x:c>
      <x:c r="E7" s="74"/>
      <x:c r="F7" s="74"/>
      <x:c r="G7" s="74"/>
      <x:c r="H7" s="74"/>
      <x:c r="I7" s="74"/>
      <x:c r="J7" s="74"/>
      <x:c r="K7" s="74"/>
      <x:c r="L7" s="74"/>
      <x:c r="M7" s="74"/>
      <x:c r="N7" s="74"/>
      <x:c r="O7" s="74"/>
      <x:c r="P7" s="74"/>
      <x:c r="Q7" s="74"/>
      <x:c r="R7" s="74"/>
      <x:c r="S7" s="74"/>
      <x:c r="T7" s="74"/>
      <x:c r="U7" s="74"/>
      <x:c r="V7" s="74"/>
    </x:row>
    <x:row r="8" ht="46" customHeight="1">
      <x:c r="A8" s="79" t="str">
        <x:v>R07</x:v>
      </x:c>
      <x:c r="B8" s="79" t="str">
        <x:v>C6−C6X</x:v>
      </x:c>
      <x:c r="C8" s="79" t="str">
        <x:v>참조 정체성에 대한 보조 타당화</x:v>
      </x:c>
      <x:c r="D8" s="105" t="str">
        <x:v>C6−C4R과 동일한 식별 contrast</x:v>
      </x:c>
      <x:c r="E8" s="74"/>
      <x:c r="F8" s="74"/>
      <x:c r="G8" s="74"/>
      <x:c r="H8" s="74"/>
      <x:c r="I8" s="74"/>
      <x:c r="J8" s="74"/>
      <x:c r="K8" s="74"/>
      <x:c r="L8" s="74"/>
      <x:c r="M8" s="74"/>
      <x:c r="N8" s="74"/>
      <x:c r="O8" s="74"/>
      <x:c r="P8" s="74"/>
      <x:c r="Q8" s="74"/>
      <x:c r="R8" s="74"/>
      <x:c r="S8" s="74"/>
      <x:c r="T8" s="74"/>
      <x:c r="U8" s="74"/>
      <x:c r="V8" s="74"/>
    </x:row>
    <x:row r="9" ht="46" customHeight="1">
      <x:c r="A9" s="79" t="str">
        <x:v>R08</x:v>
      </x:c>
      <x:c r="B9" s="79" t="str">
        <x:v>자유작성 귀속</x:v>
      </x:c>
      <x:c r="C9" s="79" t="str">
        <x:v>큰 기여요인·잔여이득</x:v>
      </x:c>
      <x:c r="D9" s="105" t="str">
        <x:v>공식 인과 분산분해·기업별 맞춤 부재</x:v>
      </x:c>
      <x:c r="E9" s="74"/>
      <x:c r="F9" s="74"/>
      <x:c r="G9" s="74"/>
      <x:c r="H9" s="74"/>
      <x:c r="I9" s="74"/>
      <x:c r="J9" s="74"/>
      <x:c r="K9" s="74"/>
      <x:c r="L9" s="74"/>
      <x:c r="M9" s="74"/>
      <x:c r="N9" s="74"/>
      <x:c r="O9" s="74"/>
      <x:c r="P9" s="74"/>
      <x:c r="Q9" s="74"/>
      <x:c r="R9" s="74"/>
      <x:c r="S9" s="74"/>
      <x:c r="T9" s="74"/>
      <x:c r="U9" s="74"/>
      <x:c r="V9" s="74"/>
    </x:row>
    <x:row r="10" ht="46" customHeight="1">
      <x:c r="A10" s="79" t="str">
        <x:v>R09</x:v>
      </x:c>
      <x:c r="B10" s="79" t="str">
        <x:v>병목</x:v>
      </x:c>
      <x:c r="C10" s="79" t="str">
        <x:v>직접 결과와 ‘병목과 정합적’ 해석을 분리</x:v>
      </x:c>
      <x:c r="D10" s="105" t="str">
        <x:v>모든 GPT/Gemini의 보편법칙</x:v>
      </x:c>
      <x:c r="E10" s="74"/>
      <x:c r="F10" s="74"/>
      <x:c r="G10" s="74"/>
      <x:c r="H10" s="74"/>
      <x:c r="I10" s="74"/>
      <x:c r="J10" s="74"/>
      <x:c r="K10" s="74"/>
      <x:c r="L10" s="74"/>
      <x:c r="M10" s="74"/>
      <x:c r="N10" s="74"/>
      <x:c r="O10" s="74"/>
      <x:c r="P10" s="74"/>
      <x:c r="Q10" s="74"/>
      <x:c r="R10" s="74"/>
      <x:c r="S10" s="74"/>
      <x:c r="T10" s="74"/>
      <x:c r="U10" s="74"/>
      <x:c r="V10" s="74"/>
    </x:row>
    <x:row r="11" ht="46" customHeight="1">
      <x:c r="A11" s="79" t="str">
        <x:v>R10</x:v>
      </x:c>
      <x:c r="B11" s="79" t="str">
        <x:v>TOST</x:v>
      </x:c>
      <x:c r="C11" s="79" t="str">
        <x:v>실질적 동등성 통과 또는 미확립</x:v>
      </x:c>
      <x:c r="D11" s="105" t="str">
        <x:v>비유의성=동등성·TOST 실패=차이 증명</x:v>
      </x:c>
      <x:c r="E11" s="74"/>
      <x:c r="F11" s="74"/>
      <x:c r="G11" s="74"/>
      <x:c r="H11" s="74"/>
      <x:c r="I11" s="74"/>
      <x:c r="J11" s="74"/>
      <x:c r="K11" s="74"/>
      <x:c r="L11" s="74"/>
      <x:c r="M11" s="74"/>
      <x:c r="N11" s="74"/>
      <x:c r="O11" s="74"/>
      <x:c r="P11" s="74"/>
      <x:c r="Q11" s="74"/>
      <x:c r="R11" s="74"/>
      <x:c r="S11" s="74"/>
      <x:c r="T11" s="74"/>
      <x:c r="U11" s="74"/>
      <x:c r="V11" s="74"/>
    </x:row>
    <x:row r="12" ht="46" customHeight="1">
      <x:c r="A12" s="79" t="str">
        <x:v>R11</x:v>
      </x:c>
      <x:c r="B12" s="79" t="str">
        <x:v>Shapley</x:v>
      </x:c>
      <x:c r="C12" s="79" t="str">
        <x:v>동결 평가함수 내부의 설명적 귀속</x:v>
      </x:c>
      <x:c r="D12" s="105" t="str">
        <x:v>인과기제</x:v>
      </x:c>
      <x:c r="E12" s="74"/>
      <x:c r="F12" s="74"/>
      <x:c r="G12" s="74"/>
      <x:c r="H12" s="74"/>
      <x:c r="I12" s="74"/>
      <x:c r="J12" s="74"/>
      <x:c r="K12" s="74"/>
      <x:c r="L12" s="74"/>
      <x:c r="M12" s="74"/>
      <x:c r="N12" s="74"/>
      <x:c r="O12" s="74"/>
      <x:c r="P12" s="74"/>
      <x:c r="Q12" s="74"/>
      <x:c r="R12" s="74"/>
      <x:c r="S12" s="74"/>
      <x:c r="T12" s="74"/>
      <x:c r="U12" s="74"/>
      <x:c r="V12" s="74"/>
    </x:row>
    <x:row r="13" ht="46" customHeight="1">
      <x:c r="A13" s="79" t="str">
        <x:v>R12</x:v>
      </x:c>
      <x:c r="B13" s="79" t="str">
        <x:v>IC-c probe</x:v>
      </x:c>
      <x:c r="C13" s="79" t="str">
        <x:v>강건한 인식 조절효과를 발견하지 못함</x:v>
      </x:c>
      <x:c r="D13" s="105" t="str">
        <x:v>사전학습 오염 부재</x:v>
      </x:c>
      <x:c r="E13" s="74"/>
      <x:c r="F13" s="74"/>
      <x:c r="G13" s="74"/>
      <x:c r="H13" s="74"/>
      <x:c r="I13" s="74"/>
      <x:c r="J13" s="74"/>
      <x:c r="K13" s="74"/>
      <x:c r="L13" s="74"/>
      <x:c r="M13" s="74"/>
      <x:c r="N13" s="74"/>
      <x:c r="O13" s="74"/>
      <x:c r="P13" s="74"/>
      <x:c r="Q13" s="74"/>
      <x:c r="R13" s="74"/>
      <x:c r="S13" s="74"/>
      <x:c r="T13" s="74"/>
      <x:c r="U13" s="74"/>
      <x:c r="V13" s="74"/>
    </x:row>
    <x:row r="14" ht="46" customHeight="1">
      <x:c r="A14" s="79" t="str">
        <x:v>R13</x:v>
      </x:c>
      <x:c r="B14" s="79" t="str">
        <x:v>재현성</x:v>
      </x:c>
      <x:c r="C14" s="79" t="str">
        <x:v>평균·대비·순위·행동·축·계약 수준 구분</x:v>
      </x:c>
      <x:c r="D14" s="105" t="str">
        <x:v>평균 반복=기업별 행동 반복</x:v>
      </x:c>
      <x:c r="E14" s="74"/>
      <x:c r="F14" s="74"/>
      <x:c r="G14" s="74"/>
      <x:c r="H14" s="74"/>
      <x:c r="I14" s="74"/>
      <x:c r="J14" s="74"/>
      <x:c r="K14" s="74"/>
      <x:c r="L14" s="74"/>
      <x:c r="M14" s="74"/>
      <x:c r="N14" s="74"/>
      <x:c r="O14" s="74"/>
      <x:c r="P14" s="74"/>
      <x:c r="Q14" s="74"/>
      <x:c r="R14" s="74"/>
      <x:c r="S14" s="74"/>
      <x:c r="T14" s="74"/>
      <x:c r="U14" s="74"/>
      <x:c r="V14" s="74"/>
    </x:row>
    <x:row r="15" ht="46" customHeight="1">
      <x:c r="A15" s="79" t="str">
        <x:v>R14</x:v>
      </x:c>
      <x:c r="B15" s="79" t="str">
        <x:v>QC</x:v>
      </x:c>
      <x:c r="C15" s="79" t="str">
        <x:v>점수 이전의 비교 적격성 관문</x:v>
      </x:c>
      <x:c r="D15" s="105" t="str">
        <x:v>계약준수=현실 안전성</x:v>
      </x:c>
      <x:c r="E15" s="74"/>
      <x:c r="F15" s="74"/>
      <x:c r="G15" s="74"/>
      <x:c r="H15" s="74"/>
      <x:c r="I15" s="74"/>
      <x:c r="J15" s="74"/>
      <x:c r="K15" s="74"/>
      <x:c r="L15" s="74"/>
      <x:c r="M15" s="74"/>
      <x:c r="N15" s="74"/>
      <x:c r="O15" s="74"/>
      <x:c r="P15" s="74"/>
      <x:c r="Q15" s="74"/>
      <x:c r="R15" s="74"/>
      <x:c r="S15" s="74"/>
      <x:c r="T15" s="74"/>
      <x:c r="U15" s="74"/>
      <x:c r="V15" s="74"/>
    </x:row>
    <x:row r="16" ht="46" customHeight="1">
      <x:c r="A16" s="79" t="str">
        <x:v>R15</x:v>
      </x:c>
      <x:c r="B16" s="79" t="str">
        <x:v>후보 라이브러리</x:v>
      </x:c>
      <x:c r="C16" s="79" t="str">
        <x:v>verifier 전: 동일 라이브러리 선언 / verifier 후: 동일 라이브러리 사용</x:v>
      </x:c>
      <x:c r="D16" s="105" t="str">
        <x:v>metadata 선언만으로 실행벡터 동일성 확정</x:v>
      </x:c>
      <x:c r="E16" s="74"/>
      <x:c r="F16" s="74"/>
      <x:c r="G16" s="74"/>
      <x:c r="H16" s="74"/>
      <x:c r="I16" s="74"/>
      <x:c r="J16" s="74"/>
      <x:c r="K16" s="74"/>
      <x:c r="L16" s="74"/>
      <x:c r="M16" s="74"/>
      <x:c r="N16" s="74"/>
      <x:c r="O16" s="74"/>
      <x:c r="P16" s="74"/>
      <x:c r="Q16" s="74"/>
      <x:c r="R16" s="74"/>
      <x:c r="S16" s="74"/>
      <x:c r="T16" s="74"/>
      <x:c r="U16" s="74"/>
      <x:c r="V16" s="74"/>
    </x:row>
    <x:row r="17" ht="46" customHeight="1">
      <x:c r="A17" s="79" t="str">
        <x:v>R16</x:v>
      </x:c>
      <x:c r="B17" s="79" t="str">
        <x:v>용어</x:v>
      </x:c>
      <x:c r="C17" s="79" t="str">
        <x:v>배포 정책 시스템(deployment policy system)</x:v>
      </x:c>
      <x:c r="D17" s="105" t="str">
        <x:v>배치 정책 시스템</x:v>
      </x:c>
      <x:c r="E17" s="74"/>
      <x:c r="F17" s="74"/>
      <x:c r="G17" s="74"/>
      <x:c r="H17" s="74"/>
      <x:c r="I17" s="74"/>
      <x:c r="J17" s="74"/>
      <x:c r="K17" s="74"/>
      <x:c r="L17" s="74"/>
      <x:c r="M17" s="74"/>
      <x:c r="N17" s="74"/>
      <x:c r="O17" s="74"/>
      <x:c r="P17" s="74"/>
      <x:c r="Q17" s="74"/>
      <x:c r="R17" s="74"/>
      <x:c r="S17" s="74"/>
      <x:c r="T17" s="74"/>
      <x:c r="U17" s="74"/>
      <x:c r="V17" s="74"/>
    </x:row>
    <x:row r="18">
      <x:c r="A18" s="74"/>
      <x:c r="B18" s="74"/>
      <x:c r="C18" s="74"/>
      <x:c r="D18" s="74"/>
      <x:c r="E18" s="74"/>
      <x:c r="F18" s="74"/>
      <x:c r="G18" s="74"/>
      <x:c r="H18" s="74"/>
      <x:c r="I18" s="74"/>
      <x:c r="J18" s="74"/>
      <x:c r="K18" s="74"/>
      <x:c r="L18" s="74"/>
      <x:c r="M18" s="74"/>
      <x:c r="N18" s="74"/>
      <x:c r="O18" s="74"/>
      <x:c r="P18" s="74"/>
      <x:c r="Q18" s="74"/>
      <x:c r="R18" s="74"/>
      <x:c r="S18" s="74"/>
      <x:c r="T18" s="74"/>
      <x:c r="U18" s="74"/>
      <x:c r="V18" s="74"/>
    </x:row>
    <x:row r="19">
      <x:c r="A19" s="74"/>
      <x:c r="B19" s="74"/>
      <x:c r="C19" s="74"/>
      <x:c r="D19" s="74"/>
      <x:c r="E19" s="74"/>
      <x:c r="F19" s="74"/>
      <x:c r="G19" s="74"/>
      <x:c r="H19" s="74"/>
      <x:c r="I19" s="74"/>
      <x:c r="J19" s="74"/>
      <x:c r="K19" s="74"/>
      <x:c r="L19" s="74"/>
      <x:c r="M19" s="74"/>
      <x:c r="N19" s="74"/>
      <x:c r="O19" s="74"/>
      <x:c r="P19" s="74"/>
      <x:c r="Q19" s="74"/>
      <x:c r="R19" s="74"/>
      <x:c r="S19" s="74"/>
      <x:c r="T19" s="74"/>
      <x:c r="U19" s="74"/>
      <x:c r="V19" s="74"/>
    </x:row>
    <x:row r="20">
      <x:c r="A20" s="74"/>
      <x:c r="B20" s="74"/>
      <x:c r="C20" s="74"/>
      <x:c r="D20" s="74"/>
      <x:c r="E20" s="74"/>
      <x:c r="F20" s="74"/>
      <x:c r="G20" s="74"/>
      <x:c r="H20" s="74"/>
      <x:c r="I20" s="74"/>
      <x:c r="J20" s="74"/>
      <x:c r="K20" s="74"/>
      <x:c r="L20" s="74"/>
      <x:c r="M20" s="74"/>
      <x:c r="N20" s="74"/>
      <x:c r="O20" s="74"/>
      <x:c r="P20" s="74"/>
      <x:c r="Q20" s="74"/>
      <x:c r="R20" s="74"/>
      <x:c r="S20" s="74"/>
      <x:c r="T20" s="74"/>
      <x:c r="U20" s="74"/>
      <x:c r="V20" s="74"/>
    </x:row>
    <x:row r="21">
      <x:c r="A21" s="74"/>
      <x:c r="B21" s="74"/>
      <x:c r="C21" s="74"/>
      <x:c r="D21" s="74"/>
      <x:c r="E21" s="74"/>
      <x:c r="F21" s="74"/>
      <x:c r="G21" s="74"/>
      <x:c r="H21" s="74"/>
      <x:c r="I21" s="74"/>
      <x:c r="J21" s="74"/>
      <x:c r="K21" s="74"/>
      <x:c r="L21" s="74"/>
      <x:c r="M21" s="74"/>
      <x:c r="N21" s="74"/>
      <x:c r="O21" s="74"/>
      <x:c r="P21" s="74"/>
      <x:c r="Q21" s="74"/>
      <x:c r="R21" s="74"/>
      <x:c r="S21" s="74"/>
      <x:c r="T21" s="74"/>
      <x:c r="U21" s="74"/>
      <x:c r="V21" s="74"/>
    </x:row>
    <x:row r="22">
      <x:c r="A22" s="74"/>
      <x:c r="B22" s="74"/>
      <x:c r="C22" s="74"/>
      <x:c r="D22" s="74"/>
      <x:c r="E22" s="74"/>
      <x:c r="F22" s="74"/>
      <x:c r="G22" s="74"/>
      <x:c r="H22" s="74"/>
      <x:c r="I22" s="74"/>
      <x:c r="J22" s="74"/>
      <x:c r="K22" s="74"/>
      <x:c r="L22" s="74"/>
      <x:c r="M22" s="74"/>
      <x:c r="N22" s="74"/>
      <x:c r="O22" s="74"/>
      <x:c r="P22" s="74"/>
      <x:c r="Q22" s="74"/>
      <x:c r="R22" s="74"/>
      <x:c r="S22" s="74"/>
      <x:c r="T22" s="74"/>
      <x:c r="U22" s="74"/>
      <x:c r="V22" s="74"/>
    </x:row>
    <x:row r="23">
      <x:c r="A23" s="74"/>
      <x:c r="B23" s="74"/>
      <x:c r="C23" s="74"/>
      <x:c r="D23" s="74"/>
      <x:c r="E23" s="74"/>
      <x:c r="F23" s="74"/>
      <x:c r="G23" s="74"/>
      <x:c r="H23" s="74"/>
      <x:c r="I23" s="74"/>
      <x:c r="J23" s="74"/>
      <x:c r="K23" s="74"/>
      <x:c r="L23" s="74"/>
      <x:c r="M23" s="74"/>
      <x:c r="N23" s="74"/>
      <x:c r="O23" s="74"/>
      <x:c r="P23" s="74"/>
      <x:c r="Q23" s="74"/>
      <x:c r="R23" s="74"/>
      <x:c r="S23" s="74"/>
      <x:c r="T23" s="74"/>
      <x:c r="U23" s="74"/>
      <x:c r="V23" s="74"/>
    </x:row>
    <x:row r="24">
      <x:c r="A24" s="74"/>
      <x:c r="B24" s="74"/>
      <x:c r="C24" s="74"/>
      <x:c r="D24" s="74"/>
      <x:c r="E24" s="74"/>
      <x:c r="F24" s="74"/>
      <x:c r="G24" s="74"/>
      <x:c r="H24" s="74"/>
      <x:c r="I24" s="74"/>
      <x:c r="J24" s="74"/>
      <x:c r="K24" s="74"/>
      <x:c r="L24" s="74"/>
      <x:c r="M24" s="74"/>
      <x:c r="N24" s="74"/>
      <x:c r="O24" s="74"/>
      <x:c r="P24" s="74"/>
      <x:c r="Q24" s="74"/>
      <x:c r="R24" s="74"/>
      <x:c r="S24" s="74"/>
      <x:c r="T24" s="74"/>
      <x:c r="U24" s="74"/>
      <x:c r="V24" s="74"/>
    </x:row>
    <x:row r="25">
      <x:c r="A25" s="74"/>
      <x:c r="B25" s="74"/>
      <x:c r="C25" s="74"/>
      <x:c r="D25" s="74"/>
      <x:c r="E25" s="74"/>
      <x:c r="F25" s="74"/>
      <x:c r="G25" s="74"/>
      <x:c r="H25" s="74"/>
      <x:c r="I25" s="74"/>
      <x:c r="J25" s="74"/>
      <x:c r="K25" s="74"/>
      <x:c r="L25" s="74"/>
      <x:c r="M25" s="74"/>
      <x:c r="N25" s="74"/>
      <x:c r="O25" s="74"/>
      <x:c r="P25" s="74"/>
      <x:c r="Q25" s="74"/>
      <x:c r="R25" s="74"/>
      <x:c r="S25" s="74"/>
      <x:c r="T25" s="74"/>
      <x:c r="U25" s="74"/>
      <x:c r="V25" s="74"/>
    </x:row>
    <x:row r="26">
      <x:c r="A26" s="74"/>
      <x:c r="B26" s="74"/>
      <x:c r="C26" s="74"/>
      <x:c r="D26" s="74"/>
      <x:c r="E26" s="74"/>
      <x:c r="F26" s="74"/>
      <x:c r="G26" s="74"/>
      <x:c r="H26" s="74"/>
      <x:c r="I26" s="74"/>
      <x:c r="J26" s="74"/>
      <x:c r="K26" s="74"/>
      <x:c r="L26" s="74"/>
      <x:c r="M26" s="74"/>
      <x:c r="N26" s="74"/>
      <x:c r="O26" s="74"/>
      <x:c r="P26" s="74"/>
      <x:c r="Q26" s="74"/>
      <x:c r="R26" s="74"/>
      <x:c r="S26" s="74"/>
      <x:c r="T26" s="74"/>
      <x:c r="U26" s="74"/>
      <x:c r="V26" s="74"/>
    </x:row>
    <x:row r="27">
      <x:c r="A27" s="74"/>
      <x:c r="B27" s="74"/>
      <x:c r="C27" s="74"/>
      <x:c r="D27" s="74"/>
      <x:c r="E27" s="74"/>
      <x:c r="F27" s="74"/>
      <x:c r="G27" s="74"/>
      <x:c r="H27" s="74"/>
      <x:c r="I27" s="74"/>
      <x:c r="J27" s="74"/>
      <x:c r="K27" s="74"/>
      <x:c r="L27" s="74"/>
      <x:c r="M27" s="74"/>
      <x:c r="N27" s="74"/>
      <x:c r="O27" s="74"/>
      <x:c r="P27" s="74"/>
      <x:c r="Q27" s="74"/>
      <x:c r="R27" s="74"/>
      <x:c r="S27" s="74"/>
      <x:c r="T27" s="74"/>
      <x:c r="U27" s="74"/>
      <x:c r="V27" s="74"/>
    </x:row>
    <x:row r="28">
      <x:c r="A28" s="74"/>
      <x:c r="B28" s="74"/>
      <x:c r="C28" s="74"/>
      <x:c r="D28" s="74"/>
      <x:c r="E28" s="74"/>
      <x:c r="F28" s="74"/>
      <x:c r="G28" s="74"/>
      <x:c r="H28" s="74"/>
      <x:c r="I28" s="74"/>
      <x:c r="J28" s="74"/>
      <x:c r="K28" s="74"/>
      <x:c r="L28" s="74"/>
      <x:c r="M28" s="74"/>
      <x:c r="N28" s="74"/>
      <x:c r="O28" s="74"/>
      <x:c r="P28" s="74"/>
      <x:c r="Q28" s="74"/>
      <x:c r="R28" s="74"/>
      <x:c r="S28" s="74"/>
      <x:c r="T28" s="74"/>
      <x:c r="U28" s="74"/>
      <x:c r="V28" s="74"/>
    </x:row>
    <x:row r="29">
      <x:c r="A29" s="74"/>
      <x:c r="B29" s="74"/>
      <x:c r="C29" s="74"/>
      <x:c r="D29" s="74"/>
      <x:c r="E29" s="74"/>
      <x:c r="F29" s="74"/>
      <x:c r="G29" s="74"/>
      <x:c r="H29" s="74"/>
      <x:c r="I29" s="74"/>
      <x:c r="J29" s="74"/>
      <x:c r="K29" s="74"/>
      <x:c r="L29" s="74"/>
      <x:c r="M29" s="74"/>
      <x:c r="N29" s="74"/>
      <x:c r="O29" s="74"/>
      <x:c r="P29" s="74"/>
      <x:c r="Q29" s="74"/>
      <x:c r="R29" s="74"/>
      <x:c r="S29" s="74"/>
      <x:c r="T29" s="74"/>
      <x:c r="U29" s="74"/>
      <x:c r="V29" s="74"/>
    </x:row>
    <x:row r="30">
      <x:c r="A30" s="74"/>
      <x:c r="B30" s="74"/>
      <x:c r="C30" s="74"/>
      <x:c r="D30" s="74"/>
      <x:c r="E30" s="74"/>
      <x:c r="F30" s="74"/>
      <x:c r="G30" s="74"/>
      <x:c r="H30" s="74"/>
      <x:c r="I30" s="74"/>
      <x:c r="J30" s="74"/>
      <x:c r="K30" s="74"/>
      <x:c r="L30" s="74"/>
      <x:c r="M30" s="74"/>
      <x:c r="N30" s="74"/>
      <x:c r="O30" s="74"/>
      <x:c r="P30" s="74"/>
      <x:c r="Q30" s="74"/>
      <x:c r="R30" s="74"/>
      <x:c r="S30" s="74"/>
      <x:c r="T30" s="74"/>
      <x:c r="U30" s="74"/>
      <x:c r="V30" s="74"/>
    </x:row>
    <x:row r="31">
      <x:c r="A31" s="74"/>
      <x:c r="B31" s="74"/>
      <x:c r="C31" s="74"/>
      <x:c r="D31" s="74"/>
      <x:c r="E31" s="74"/>
      <x:c r="F31" s="74"/>
      <x:c r="G31" s="74"/>
      <x:c r="H31" s="74"/>
      <x:c r="I31" s="74"/>
      <x:c r="J31" s="74"/>
      <x:c r="K31" s="74"/>
      <x:c r="L31" s="74"/>
      <x:c r="M31" s="74"/>
      <x:c r="N31" s="74"/>
      <x:c r="O31" s="74"/>
      <x:c r="P31" s="74"/>
      <x:c r="Q31" s="74"/>
      <x:c r="R31" s="74"/>
      <x:c r="S31" s="74"/>
      <x:c r="T31" s="74"/>
      <x:c r="U31" s="74"/>
      <x:c r="V31" s="74"/>
    </x:row>
    <x:row r="32">
      <x:c r="A32" s="74"/>
      <x:c r="B32" s="74"/>
      <x:c r="C32" s="74"/>
      <x:c r="D32" s="74"/>
      <x:c r="E32" s="74"/>
      <x:c r="F32" s="74"/>
      <x:c r="G32" s="74"/>
      <x:c r="H32" s="74"/>
      <x:c r="I32" s="74"/>
      <x:c r="J32" s="74"/>
      <x:c r="K32" s="74"/>
      <x:c r="L32" s="74"/>
      <x:c r="M32" s="74"/>
      <x:c r="N32" s="74"/>
      <x:c r="O32" s="74"/>
      <x:c r="P32" s="74"/>
      <x:c r="Q32" s="74"/>
      <x:c r="R32" s="74"/>
      <x:c r="S32" s="74"/>
      <x:c r="T32" s="74"/>
      <x:c r="U32" s="74"/>
      <x:c r="V32" s="74"/>
    </x:row>
    <x:row r="33">
      <x:c r="A33" s="74"/>
      <x:c r="B33" s="74"/>
      <x:c r="C33" s="74"/>
      <x:c r="D33" s="74"/>
      <x:c r="E33" s="74"/>
      <x:c r="F33" s="74"/>
      <x:c r="G33" s="74"/>
      <x:c r="H33" s="74"/>
      <x:c r="I33" s="74"/>
      <x:c r="J33" s="74"/>
      <x:c r="K33" s="74"/>
      <x:c r="L33" s="74"/>
      <x:c r="M33" s="74"/>
      <x:c r="N33" s="74"/>
      <x:c r="O33" s="74"/>
      <x:c r="P33" s="74"/>
      <x:c r="Q33" s="74"/>
      <x:c r="R33" s="74"/>
      <x:c r="S33" s="74"/>
      <x:c r="T33" s="74"/>
      <x:c r="U33" s="74"/>
      <x:c r="V33" s="74"/>
    </x:row>
    <x:row r="34">
      <x:c r="A34" s="74"/>
      <x:c r="B34" s="74"/>
      <x:c r="C34" s="74"/>
      <x:c r="D34" s="74"/>
      <x:c r="E34" s="74"/>
      <x:c r="F34" s="74"/>
      <x:c r="G34" s="74"/>
      <x:c r="H34" s="74"/>
      <x:c r="I34" s="74"/>
      <x:c r="J34" s="74"/>
      <x:c r="K34" s="74"/>
      <x:c r="L34" s="74"/>
      <x:c r="M34" s="74"/>
      <x:c r="N34" s="74"/>
      <x:c r="O34" s="74"/>
      <x:c r="P34" s="74"/>
      <x:c r="Q34" s="74"/>
      <x:c r="R34" s="74"/>
      <x:c r="S34" s="74"/>
      <x:c r="T34" s="74"/>
      <x:c r="U34" s="74"/>
      <x:c r="V34" s="74"/>
    </x:row>
    <x:row r="35">
      <x:c r="A35" s="74"/>
      <x:c r="B35" s="74"/>
      <x:c r="C35" s="74"/>
      <x:c r="D35" s="74"/>
      <x:c r="E35" s="74"/>
      <x:c r="F35" s="74"/>
      <x:c r="G35" s="74"/>
      <x:c r="H35" s="74"/>
      <x:c r="I35" s="74"/>
      <x:c r="J35" s="74"/>
      <x:c r="K35" s="74"/>
      <x:c r="L35" s="74"/>
      <x:c r="M35" s="74"/>
      <x:c r="N35" s="74"/>
      <x:c r="O35" s="74"/>
      <x:c r="P35" s="74"/>
      <x:c r="Q35" s="74"/>
      <x:c r="R35" s="74"/>
      <x:c r="S35" s="74"/>
      <x:c r="T35" s="74"/>
      <x:c r="U35" s="74"/>
      <x:c r="V35" s="74"/>
    </x:row>
    <x:row r="36">
      <x:c r="A36" s="74"/>
      <x:c r="B36" s="74"/>
      <x:c r="C36" s="74"/>
      <x:c r="D36" s="74"/>
      <x:c r="E36" s="74"/>
      <x:c r="F36" s="74"/>
      <x:c r="G36" s="74"/>
      <x:c r="H36" s="74"/>
      <x:c r="I36" s="74"/>
      <x:c r="J36" s="74"/>
      <x:c r="K36" s="74"/>
      <x:c r="L36" s="74"/>
      <x:c r="M36" s="74"/>
      <x:c r="N36" s="74"/>
      <x:c r="O36" s="74"/>
      <x:c r="P36" s="74"/>
      <x:c r="Q36" s="74"/>
      <x:c r="R36" s="74"/>
      <x:c r="S36" s="74"/>
      <x:c r="T36" s="74"/>
      <x:c r="U36" s="74"/>
      <x:c r="V36" s="74"/>
    </x:row>
    <x:row r="37">
      <x:c r="A37" s="74"/>
      <x:c r="B37" s="74"/>
      <x:c r="C37" s="74"/>
      <x:c r="D37" s="74"/>
      <x:c r="E37" s="74"/>
      <x:c r="F37" s="74"/>
      <x:c r="G37" s="74"/>
      <x:c r="H37" s="74"/>
      <x:c r="I37" s="74"/>
      <x:c r="J37" s="74"/>
      <x:c r="K37" s="74"/>
      <x:c r="L37" s="74"/>
      <x:c r="M37" s="74"/>
      <x:c r="N37" s="74"/>
      <x:c r="O37" s="74"/>
      <x:c r="P37" s="74"/>
      <x:c r="Q37" s="74"/>
      <x:c r="R37" s="74"/>
      <x:c r="S37" s="74"/>
      <x:c r="T37" s="74"/>
      <x:c r="U37" s="74"/>
      <x:c r="V37" s="74"/>
    </x:row>
    <x:row r="38">
      <x:c r="A38" s="74"/>
      <x:c r="B38" s="74"/>
      <x:c r="C38" s="74"/>
      <x:c r="D38" s="74"/>
      <x:c r="E38" s="74"/>
      <x:c r="F38" s="74"/>
      <x:c r="G38" s="74"/>
      <x:c r="H38" s="74"/>
      <x:c r="I38" s="74"/>
      <x:c r="J38" s="74"/>
      <x:c r="K38" s="74"/>
      <x:c r="L38" s="74"/>
      <x:c r="M38" s="74"/>
      <x:c r="N38" s="74"/>
      <x:c r="O38" s="74"/>
      <x:c r="P38" s="74"/>
      <x:c r="Q38" s="74"/>
      <x:c r="R38" s="74"/>
      <x:c r="S38" s="74"/>
      <x:c r="T38" s="74"/>
      <x:c r="U38" s="74"/>
      <x:c r="V38" s="74"/>
    </x:row>
    <x:row r="39">
      <x:c r="A39" s="74"/>
      <x:c r="B39" s="74"/>
      <x:c r="C39" s="74"/>
      <x:c r="D39" s="74"/>
      <x:c r="E39" s="74"/>
      <x:c r="F39" s="74"/>
      <x:c r="G39" s="74"/>
      <x:c r="H39" s="74"/>
      <x:c r="I39" s="74"/>
      <x:c r="J39" s="74"/>
      <x:c r="K39" s="74"/>
      <x:c r="L39" s="74"/>
      <x:c r="M39" s="74"/>
      <x:c r="N39" s="74"/>
      <x:c r="O39" s="74"/>
      <x:c r="P39" s="74"/>
      <x:c r="Q39" s="74"/>
      <x:c r="R39" s="74"/>
      <x:c r="S39" s="74"/>
      <x:c r="T39" s="74"/>
      <x:c r="U39" s="74"/>
      <x:c r="V39" s="74"/>
    </x:row>
    <x:row r="40">
      <x:c r="A40" s="74"/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4"/>
      <x:c r="T40" s="74"/>
      <x:c r="U40" s="74"/>
      <x:c r="V40" s="74"/>
    </x:row>
    <x:row r="41">
      <x:c r="A41" s="74"/>
      <x:c r="B41" s="74"/>
      <x:c r="C41" s="74"/>
      <x:c r="D41" s="74"/>
      <x:c r="E41" s="74"/>
      <x:c r="F41" s="74"/>
      <x:c r="G41" s="74"/>
      <x:c r="H41" s="74"/>
      <x:c r="I41" s="74"/>
      <x:c r="J41" s="74"/>
      <x:c r="K41" s="74"/>
      <x:c r="L41" s="74"/>
      <x:c r="M41" s="74"/>
      <x:c r="N41" s="74"/>
      <x:c r="O41" s="74"/>
      <x:c r="P41" s="74"/>
      <x:c r="Q41" s="74"/>
      <x:c r="R41" s="74"/>
      <x:c r="S41" s="74"/>
      <x:c r="T41" s="74"/>
      <x:c r="U41" s="74"/>
      <x:c r="V41" s="74"/>
    </x:row>
    <x:row r="42">
      <x:c r="A42" s="74"/>
      <x:c r="B42" s="74"/>
      <x:c r="C42" s="74"/>
      <x:c r="D42" s="74"/>
      <x:c r="E42" s="74"/>
      <x:c r="F42" s="74"/>
      <x:c r="G42" s="74"/>
      <x:c r="H42" s="74"/>
      <x:c r="I42" s="74"/>
      <x:c r="J42" s="74"/>
      <x:c r="K42" s="74"/>
      <x:c r="L42" s="74"/>
      <x:c r="M42" s="74"/>
      <x:c r="N42" s="74"/>
      <x:c r="O42" s="74"/>
      <x:c r="P42" s="74"/>
      <x:c r="Q42" s="74"/>
      <x:c r="R42" s="74"/>
      <x:c r="S42" s="74"/>
      <x:c r="T42" s="74"/>
      <x:c r="U42" s="74"/>
      <x:c r="V42" s="74"/>
    </x:row>
    <x:row r="43">
      <x:c r="A43" s="74"/>
      <x:c r="B43" s="74"/>
      <x:c r="C43" s="74"/>
      <x:c r="D43" s="74"/>
      <x:c r="E43" s="74"/>
      <x:c r="F43" s="74"/>
      <x:c r="G43" s="74"/>
      <x:c r="H43" s="74"/>
      <x:c r="I43" s="74"/>
      <x:c r="J43" s="74"/>
      <x:c r="K43" s="74"/>
      <x:c r="L43" s="74"/>
      <x:c r="M43" s="74"/>
      <x:c r="N43" s="74"/>
      <x:c r="O43" s="74"/>
      <x:c r="P43" s="74"/>
      <x:c r="Q43" s="74"/>
      <x:c r="R43" s="74"/>
      <x:c r="S43" s="74"/>
      <x:c r="T43" s="74"/>
      <x:c r="U43" s="74"/>
      <x:c r="V43" s="74"/>
    </x:row>
    <x:row r="44">
      <x:c r="A44" s="74"/>
      <x:c r="B44" s="74"/>
      <x:c r="C44" s="74"/>
      <x:c r="D44" s="74"/>
      <x:c r="E44" s="74"/>
      <x:c r="F44" s="74"/>
      <x:c r="G44" s="74"/>
      <x:c r="H44" s="74"/>
      <x:c r="I44" s="74"/>
      <x:c r="J44" s="74"/>
      <x:c r="K44" s="74"/>
      <x:c r="L44" s="74"/>
      <x:c r="M44" s="74"/>
      <x:c r="N44" s="74"/>
      <x:c r="O44" s="74"/>
      <x:c r="P44" s="74"/>
      <x:c r="Q44" s="74"/>
      <x:c r="R44" s="74"/>
      <x:c r="S44" s="74"/>
      <x:c r="T44" s="74"/>
      <x:c r="U44" s="74"/>
      <x:c r="V44" s="74"/>
    </x:row>
    <x:row r="45">
      <x:c r="A45" s="74"/>
      <x:c r="B45" s="74"/>
      <x:c r="C45" s="74"/>
      <x:c r="D45" s="74"/>
      <x:c r="E45" s="74"/>
      <x:c r="F45" s="74"/>
      <x:c r="G45" s="74"/>
      <x:c r="H45" s="74"/>
      <x:c r="I45" s="74"/>
      <x:c r="J45" s="74"/>
      <x:c r="K45" s="74"/>
      <x:c r="L45" s="74"/>
      <x:c r="M45" s="74"/>
      <x:c r="N45" s="74"/>
      <x:c r="O45" s="74"/>
      <x:c r="P45" s="74"/>
      <x:c r="Q45" s="74"/>
      <x:c r="R45" s="74"/>
      <x:c r="S45" s="74"/>
      <x:c r="T45" s="74"/>
      <x:c r="U45" s="74"/>
      <x:c r="V45" s="74"/>
    </x:row>
    <x:row r="46">
      <x:c r="A46" s="74"/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4"/>
      <x:c r="M46" s="74"/>
      <x:c r="N46" s="74"/>
      <x:c r="O46" s="74"/>
      <x:c r="P46" s="74"/>
      <x:c r="Q46" s="74"/>
      <x:c r="R46" s="74"/>
      <x:c r="S46" s="74"/>
      <x:c r="T46" s="74"/>
      <x:c r="U46" s="74"/>
      <x:c r="V46" s="74"/>
    </x:row>
    <x:row r="47">
      <x:c r="A47" s="74"/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4"/>
      <x:c r="M47" s="74"/>
      <x:c r="N47" s="74"/>
      <x:c r="O47" s="74"/>
      <x:c r="P47" s="74"/>
      <x:c r="Q47" s="74"/>
      <x:c r="R47" s="74"/>
      <x:c r="S47" s="74"/>
      <x:c r="T47" s="74"/>
      <x:c r="U47" s="74"/>
      <x:c r="V47" s="74"/>
    </x:row>
    <x:row r="48">
      <x:c r="A48" s="74"/>
      <x:c r="B48" s="74"/>
      <x:c r="C48" s="74"/>
      <x:c r="D48" s="74"/>
      <x:c r="E48" s="74"/>
      <x:c r="F48" s="74"/>
      <x:c r="G48" s="74"/>
      <x:c r="H48" s="74"/>
      <x:c r="I48" s="74"/>
      <x:c r="J48" s="74"/>
      <x:c r="K48" s="74"/>
      <x:c r="L48" s="74"/>
      <x:c r="M48" s="74"/>
      <x:c r="N48" s="74"/>
      <x:c r="O48" s="74"/>
      <x:c r="P48" s="74"/>
      <x:c r="Q48" s="74"/>
      <x:c r="R48" s="74"/>
      <x:c r="S48" s="74"/>
      <x:c r="T48" s="74"/>
      <x:c r="U48" s="74"/>
      <x:c r="V48" s="74"/>
    </x:row>
    <x:row r="49">
      <x:c r="A49" s="74"/>
      <x:c r="B49" s="74"/>
      <x:c r="C49" s="74"/>
      <x:c r="D49" s="74"/>
      <x:c r="E49" s="74"/>
      <x:c r="F49" s="74"/>
      <x:c r="G49" s="74"/>
      <x:c r="H49" s="74"/>
      <x:c r="I49" s="74"/>
      <x:c r="J49" s="74"/>
      <x:c r="K49" s="74"/>
      <x:c r="L49" s="74"/>
      <x:c r="M49" s="74"/>
      <x:c r="N49" s="74"/>
      <x:c r="O49" s="74"/>
      <x:c r="P49" s="74"/>
      <x:c r="Q49" s="74"/>
      <x:c r="R49" s="74"/>
      <x:c r="S49" s="74"/>
      <x:c r="T49" s="74"/>
      <x:c r="U49" s="74"/>
      <x:c r="V49" s="74"/>
    </x:row>
    <x:row r="50">
      <x:c r="A50" s="74"/>
      <x:c r="B50" s="74"/>
      <x:c r="C50" s="74"/>
      <x:c r="D50" s="74"/>
      <x:c r="E50" s="74"/>
      <x:c r="F50" s="74"/>
      <x:c r="G50" s="74"/>
      <x:c r="H50" s="74"/>
      <x:c r="I50" s="74"/>
      <x:c r="J50" s="74"/>
      <x:c r="K50" s="74"/>
      <x:c r="L50" s="74"/>
      <x:c r="M50" s="74"/>
      <x:c r="N50" s="74"/>
      <x:c r="O50" s="74"/>
      <x:c r="P50" s="74"/>
      <x:c r="Q50" s="74"/>
      <x:c r="R50" s="74"/>
      <x:c r="S50" s="74"/>
      <x:c r="T50" s="74"/>
      <x:c r="U50" s="74"/>
      <x:c r="V50" s="74"/>
    </x:row>
    <x:row r="51">
      <x:c r="A51" s="74"/>
      <x:c r="B51" s="74"/>
      <x:c r="C51" s="74"/>
      <x:c r="D51" s="74"/>
      <x:c r="E51" s="74"/>
      <x:c r="F51" s="74"/>
      <x:c r="G51" s="74"/>
      <x:c r="H51" s="74"/>
      <x:c r="I51" s="74"/>
      <x:c r="J51" s="74"/>
      <x:c r="K51" s="74"/>
      <x:c r="L51" s="74"/>
      <x:c r="M51" s="74"/>
      <x:c r="N51" s="74"/>
      <x:c r="O51" s="74"/>
      <x:c r="P51" s="74"/>
      <x:c r="Q51" s="74"/>
      <x:c r="R51" s="74"/>
      <x:c r="S51" s="74"/>
      <x:c r="T51" s="74"/>
      <x:c r="U51" s="74"/>
      <x:c r="V51" s="74"/>
    </x:row>
    <x:row r="52">
      <x:c r="A52" s="74"/>
      <x:c r="B52" s="74"/>
      <x:c r="C52" s="74"/>
      <x:c r="D52" s="74"/>
      <x:c r="E52" s="74"/>
      <x:c r="F52" s="74"/>
      <x:c r="G52" s="74"/>
      <x:c r="H52" s="74"/>
      <x:c r="I52" s="74"/>
      <x:c r="J52" s="74"/>
      <x:c r="K52" s="74"/>
      <x:c r="L52" s="74"/>
      <x:c r="M52" s="74"/>
      <x:c r="N52" s="74"/>
      <x:c r="O52" s="74"/>
      <x:c r="P52" s="74"/>
      <x:c r="Q52" s="74"/>
      <x:c r="R52" s="74"/>
      <x:c r="S52" s="74"/>
      <x:c r="T52" s="74"/>
      <x:c r="U52" s="74"/>
      <x:c r="V52" s="74"/>
    </x:row>
    <x:row r="53">
      <x:c r="A53" s="74"/>
      <x:c r="B53" s="74"/>
      <x:c r="C53" s="74"/>
      <x:c r="D53" s="74"/>
      <x:c r="E53" s="74"/>
      <x:c r="F53" s="74"/>
      <x:c r="G53" s="74"/>
      <x:c r="H53" s="74"/>
      <x:c r="I53" s="74"/>
      <x:c r="J53" s="74"/>
      <x:c r="K53" s="74"/>
      <x:c r="L53" s="74"/>
      <x:c r="M53" s="74"/>
      <x:c r="N53" s="74"/>
      <x:c r="O53" s="74"/>
      <x:c r="P53" s="74"/>
      <x:c r="Q53" s="74"/>
      <x:c r="R53" s="74"/>
      <x:c r="S53" s="74"/>
      <x:c r="T53" s="74"/>
      <x:c r="U53" s="74"/>
      <x:c r="V53" s="74"/>
    </x:row>
    <x:row r="54">
      <x:c r="A54" s="74"/>
      <x:c r="B54" s="74"/>
      <x:c r="C54" s="74"/>
      <x:c r="D54" s="74"/>
      <x:c r="E54" s="74"/>
      <x:c r="F54" s="74"/>
      <x:c r="G54" s="74"/>
      <x:c r="H54" s="74"/>
      <x:c r="I54" s="74"/>
      <x:c r="J54" s="74"/>
      <x:c r="K54" s="74"/>
      <x:c r="L54" s="74"/>
      <x:c r="M54" s="74"/>
      <x:c r="N54" s="74"/>
      <x:c r="O54" s="74"/>
      <x:c r="P54" s="74"/>
      <x:c r="Q54" s="74"/>
      <x:c r="R54" s="74"/>
      <x:c r="S54" s="74"/>
      <x:c r="T54" s="74"/>
      <x:c r="U54" s="74"/>
      <x:c r="V54" s="74"/>
    </x:row>
    <x:row r="55">
      <x:c r="A55" s="74"/>
      <x:c r="B55" s="74"/>
      <x:c r="C55" s="74"/>
      <x:c r="D55" s="74"/>
      <x:c r="E55" s="74"/>
      <x:c r="F55" s="74"/>
      <x:c r="G55" s="74"/>
      <x:c r="H55" s="74"/>
      <x:c r="I55" s="74"/>
      <x:c r="J55" s="74"/>
      <x:c r="K55" s="74"/>
      <x:c r="L55" s="74"/>
      <x:c r="M55" s="74"/>
      <x:c r="N55" s="74"/>
      <x:c r="O55" s="74"/>
      <x:c r="P55" s="74"/>
      <x:c r="Q55" s="74"/>
      <x:c r="R55" s="74"/>
      <x:c r="S55" s="74"/>
      <x:c r="T55" s="74"/>
      <x:c r="U55" s="74"/>
      <x:c r="V55" s="74"/>
    </x:row>
    <x:row r="56">
      <x:c r="A56" s="74"/>
      <x:c r="B56" s="74"/>
      <x:c r="C56" s="74"/>
      <x:c r="D56" s="74"/>
      <x:c r="E56" s="74"/>
      <x:c r="F56" s="74"/>
      <x:c r="G56" s="74"/>
      <x:c r="H56" s="74"/>
      <x:c r="I56" s="74"/>
      <x:c r="J56" s="74"/>
      <x:c r="K56" s="74"/>
      <x:c r="L56" s="74"/>
      <x:c r="M56" s="74"/>
      <x:c r="N56" s="74"/>
      <x:c r="O56" s="74"/>
      <x:c r="P56" s="74"/>
      <x:c r="Q56" s="74"/>
      <x:c r="R56" s="74"/>
      <x:c r="S56" s="74"/>
      <x:c r="T56" s="74"/>
      <x:c r="U56" s="74"/>
      <x:c r="V56" s="74"/>
    </x:row>
    <x:row r="57">
      <x:c r="A57" s="74"/>
      <x:c r="B57" s="74"/>
      <x:c r="C57" s="74"/>
      <x:c r="D57" s="74"/>
      <x:c r="E57" s="74"/>
      <x:c r="F57" s="74"/>
      <x:c r="G57" s="74"/>
      <x:c r="H57" s="74"/>
      <x:c r="I57" s="74"/>
      <x:c r="J57" s="74"/>
      <x:c r="K57" s="74"/>
      <x:c r="L57" s="74"/>
      <x:c r="M57" s="74"/>
      <x:c r="N57" s="74"/>
      <x:c r="O57" s="74"/>
      <x:c r="P57" s="74"/>
      <x:c r="Q57" s="74"/>
      <x:c r="R57" s="74"/>
      <x:c r="S57" s="74"/>
      <x:c r="T57" s="74"/>
      <x:c r="U57" s="74"/>
      <x:c r="V57" s="74"/>
    </x:row>
    <x:row r="58">
      <x:c r="A58" s="74"/>
      <x:c r="B58" s="74"/>
      <x:c r="C58" s="74"/>
      <x:c r="D58" s="74"/>
      <x:c r="E58" s="74"/>
      <x:c r="F58" s="74"/>
      <x:c r="G58" s="74"/>
      <x:c r="H58" s="74"/>
      <x:c r="I58" s="74"/>
      <x:c r="J58" s="74"/>
      <x:c r="K58" s="74"/>
      <x:c r="L58" s="74"/>
      <x:c r="M58" s="74"/>
      <x:c r="N58" s="74"/>
      <x:c r="O58" s="74"/>
      <x:c r="P58" s="74"/>
      <x:c r="Q58" s="74"/>
      <x:c r="R58" s="74"/>
      <x:c r="S58" s="74"/>
      <x:c r="T58" s="74"/>
      <x:c r="U58" s="74"/>
      <x:c r="V58" s="74"/>
    </x:row>
    <x:row r="59">
      <x:c r="A59" s="74"/>
      <x:c r="B59" s="74"/>
      <x:c r="C59" s="74"/>
      <x:c r="D59" s="74"/>
      <x:c r="E59" s="74"/>
      <x:c r="F59" s="74"/>
      <x:c r="G59" s="74"/>
      <x:c r="H59" s="74"/>
      <x:c r="I59" s="74"/>
      <x:c r="J59" s="74"/>
      <x:c r="K59" s="74"/>
      <x:c r="L59" s="74"/>
      <x:c r="M59" s="74"/>
      <x:c r="N59" s="74"/>
      <x:c r="O59" s="74"/>
      <x:c r="P59" s="74"/>
      <x:c r="Q59" s="74"/>
      <x:c r="R59" s="74"/>
      <x:c r="S59" s="74"/>
      <x:c r="T59" s="74"/>
      <x:c r="U59" s="74"/>
      <x:c r="V59" s="74"/>
    </x:row>
    <x:row r="60">
      <x:c r="A60" s="74"/>
      <x:c r="B60" s="74"/>
      <x:c r="C60" s="74"/>
      <x:c r="D60" s="74"/>
      <x:c r="E60" s="74"/>
      <x:c r="F60" s="74"/>
      <x:c r="G60" s="74"/>
      <x:c r="H60" s="74"/>
      <x:c r="I60" s="74"/>
      <x:c r="J60" s="74"/>
      <x:c r="K60" s="74"/>
      <x:c r="L60" s="74"/>
      <x:c r="M60" s="74"/>
      <x:c r="N60" s="74"/>
      <x:c r="O60" s="74"/>
      <x:c r="P60" s="74"/>
      <x:c r="Q60" s="74"/>
      <x:c r="R60" s="74"/>
      <x:c r="S60" s="74"/>
      <x:c r="T60" s="74"/>
      <x:c r="U60" s="74"/>
      <x:c r="V60" s="74"/>
    </x:row>
    <x:row r="61">
      <x:c r="A61" s="74"/>
      <x:c r="B61" s="74"/>
      <x:c r="C61" s="74"/>
      <x:c r="D61" s="74"/>
      <x:c r="E61" s="74"/>
      <x:c r="F61" s="74"/>
      <x:c r="G61" s="74"/>
      <x:c r="H61" s="74"/>
      <x:c r="I61" s="74"/>
      <x:c r="J61" s="74"/>
      <x:c r="K61" s="74"/>
      <x:c r="L61" s="74"/>
      <x:c r="M61" s="74"/>
      <x:c r="N61" s="74"/>
      <x:c r="O61" s="74"/>
      <x:c r="P61" s="74"/>
      <x:c r="Q61" s="74"/>
      <x:c r="R61" s="74"/>
      <x:c r="S61" s="74"/>
      <x:c r="T61" s="74"/>
      <x:c r="U61" s="74"/>
      <x:c r="V61" s="74"/>
    </x:row>
    <x:row r="62">
      <x:c r="A62" s="74"/>
      <x:c r="B62" s="74"/>
      <x:c r="C62" s="74"/>
      <x:c r="D62" s="74"/>
      <x:c r="E62" s="74"/>
      <x:c r="F62" s="74"/>
      <x:c r="G62" s="74"/>
      <x:c r="H62" s="74"/>
      <x:c r="I62" s="74"/>
      <x:c r="J62" s="74"/>
      <x:c r="K62" s="74"/>
      <x:c r="L62" s="74"/>
      <x:c r="M62" s="74"/>
      <x:c r="N62" s="74"/>
      <x:c r="O62" s="74"/>
      <x:c r="P62" s="74"/>
      <x:c r="Q62" s="74"/>
      <x:c r="R62" s="74"/>
      <x:c r="S62" s="74"/>
      <x:c r="T62" s="74"/>
      <x:c r="U62" s="74"/>
      <x:c r="V62" s="74"/>
    </x:row>
    <x:row r="63">
      <x:c r="A63" s="74"/>
      <x:c r="B63" s="74"/>
      <x:c r="C63" s="74"/>
      <x:c r="D63" s="74"/>
      <x:c r="E63" s="74"/>
      <x:c r="F63" s="74"/>
      <x:c r="G63" s="74"/>
      <x:c r="H63" s="74"/>
      <x:c r="I63" s="74"/>
      <x:c r="J63" s="74"/>
      <x:c r="K63" s="74"/>
      <x:c r="L63" s="74"/>
      <x:c r="M63" s="74"/>
      <x:c r="N63" s="74"/>
      <x:c r="O63" s="74"/>
      <x:c r="P63" s="74"/>
      <x:c r="Q63" s="74"/>
      <x:c r="R63" s="74"/>
      <x:c r="S63" s="74"/>
      <x:c r="T63" s="74"/>
      <x:c r="U63" s="74"/>
      <x:c r="V63" s="74"/>
    </x:row>
    <x:row r="64">
      <x:c r="A64" s="74"/>
      <x:c r="B64" s="74"/>
      <x:c r="C64" s="74"/>
      <x:c r="D64" s="74"/>
      <x:c r="E64" s="74"/>
      <x:c r="F64" s="74"/>
      <x:c r="G64" s="74"/>
      <x:c r="H64" s="74"/>
      <x:c r="I64" s="74"/>
      <x:c r="J64" s="74"/>
      <x:c r="K64" s="74"/>
      <x:c r="L64" s="74"/>
      <x:c r="M64" s="74"/>
      <x:c r="N64" s="74"/>
      <x:c r="O64" s="74"/>
      <x:c r="P64" s="74"/>
      <x:c r="Q64" s="74"/>
      <x:c r="R64" s="74"/>
      <x:c r="S64" s="74"/>
      <x:c r="T64" s="74"/>
      <x:c r="U64" s="74"/>
      <x:c r="V64" s="74"/>
    </x:row>
    <x:row r="65">
      <x:c r="A65" s="74"/>
      <x:c r="B65" s="74"/>
      <x:c r="C65" s="74"/>
      <x:c r="D65" s="74"/>
      <x:c r="E65" s="74"/>
      <x:c r="F65" s="74"/>
      <x:c r="G65" s="74"/>
      <x:c r="H65" s="74"/>
      <x:c r="I65" s="74"/>
      <x:c r="J65" s="74"/>
      <x:c r="K65" s="74"/>
      <x:c r="L65" s="74"/>
      <x:c r="M65" s="74"/>
      <x:c r="N65" s="74"/>
      <x:c r="O65" s="74"/>
      <x:c r="P65" s="74"/>
      <x:c r="Q65" s="74"/>
      <x:c r="R65" s="74"/>
      <x:c r="S65" s="74"/>
      <x:c r="T65" s="74"/>
      <x:c r="U65" s="74"/>
      <x:c r="V65" s="74"/>
    </x:row>
    <x:row r="66">
      <x:c r="A66" s="74"/>
      <x:c r="B66" s="74"/>
      <x:c r="C66" s="74"/>
      <x:c r="D66" s="74"/>
      <x:c r="E66" s="74"/>
      <x:c r="F66" s="74"/>
      <x:c r="G66" s="74"/>
      <x:c r="H66" s="74"/>
      <x:c r="I66" s="74"/>
      <x:c r="J66" s="74"/>
      <x:c r="K66" s="74"/>
      <x:c r="L66" s="74"/>
      <x:c r="M66" s="74"/>
      <x:c r="N66" s="74"/>
      <x:c r="O66" s="74"/>
      <x:c r="P66" s="74"/>
      <x:c r="Q66" s="74"/>
      <x:c r="R66" s="74"/>
      <x:c r="S66" s="74"/>
      <x:c r="T66" s="74"/>
      <x:c r="U66" s="74"/>
      <x:c r="V66" s="74"/>
    </x:row>
    <x:row r="67">
      <x:c r="A67" s="74"/>
      <x:c r="B67" s="74"/>
      <x:c r="C67" s="74"/>
      <x:c r="D67" s="74"/>
      <x:c r="E67" s="74"/>
      <x:c r="F67" s="74"/>
      <x:c r="G67" s="74"/>
      <x:c r="H67" s="74"/>
      <x:c r="I67" s="74"/>
      <x:c r="J67" s="74"/>
      <x:c r="K67" s="74"/>
      <x:c r="L67" s="74"/>
      <x:c r="M67" s="74"/>
      <x:c r="N67" s="74"/>
      <x:c r="O67" s="74"/>
      <x:c r="P67" s="74"/>
      <x:c r="Q67" s="74"/>
      <x:c r="R67" s="74"/>
      <x:c r="S67" s="74"/>
      <x:c r="T67" s="74"/>
      <x:c r="U67" s="74"/>
      <x:c r="V67" s="74"/>
    </x:row>
    <x:row r="68">
      <x:c r="A68" s="74"/>
      <x:c r="B68" s="74"/>
      <x:c r="C68" s="74"/>
      <x:c r="D68" s="74"/>
      <x:c r="E68" s="74"/>
      <x:c r="F68" s="74"/>
      <x:c r="G68" s="74"/>
      <x:c r="H68" s="74"/>
      <x:c r="I68" s="74"/>
      <x:c r="J68" s="74"/>
      <x:c r="K68" s="74"/>
      <x:c r="L68" s="74"/>
      <x:c r="M68" s="74"/>
      <x:c r="N68" s="74"/>
      <x:c r="O68" s="74"/>
      <x:c r="P68" s="74"/>
      <x:c r="Q68" s="74"/>
      <x:c r="R68" s="74"/>
      <x:c r="S68" s="74"/>
      <x:c r="T68" s="74"/>
      <x:c r="U68" s="74"/>
      <x:c r="V68" s="74"/>
    </x:row>
    <x:row r="69">
      <x:c r="A69" s="74"/>
      <x:c r="B69" s="74"/>
      <x:c r="C69" s="74"/>
      <x:c r="D69" s="74"/>
      <x:c r="E69" s="74"/>
      <x:c r="F69" s="74"/>
      <x:c r="G69" s="74"/>
      <x:c r="H69" s="74"/>
      <x:c r="I69" s="74"/>
      <x:c r="J69" s="74"/>
      <x:c r="K69" s="74"/>
      <x:c r="L69" s="74"/>
      <x:c r="M69" s="74"/>
      <x:c r="N69" s="74"/>
      <x:c r="O69" s="74"/>
      <x:c r="P69" s="74"/>
      <x:c r="Q69" s="74"/>
      <x:c r="R69" s="74"/>
      <x:c r="S69" s="74"/>
      <x:c r="T69" s="74"/>
      <x:c r="U69" s="74"/>
      <x:c r="V69" s="74"/>
    </x:row>
    <x:row r="70">
      <x:c r="A70" s="74"/>
      <x:c r="B70" s="74"/>
      <x:c r="C70" s="74"/>
      <x:c r="D70" s="74"/>
      <x:c r="E70" s="74"/>
      <x:c r="F70" s="74"/>
      <x:c r="G70" s="74"/>
      <x:c r="H70" s="74"/>
      <x:c r="I70" s="74"/>
      <x:c r="J70" s="74"/>
      <x:c r="K70" s="74"/>
      <x:c r="L70" s="74"/>
      <x:c r="M70" s="74"/>
      <x:c r="N70" s="74"/>
      <x:c r="O70" s="74"/>
      <x:c r="P70" s="74"/>
      <x:c r="Q70" s="74"/>
      <x:c r="R70" s="74"/>
      <x:c r="S70" s="74"/>
      <x:c r="T70" s="74"/>
      <x:c r="U70" s="74"/>
      <x:c r="V70" s="74"/>
    </x:row>
    <x:row r="71">
      <x:c r="A71" s="74"/>
      <x:c r="B71" s="74"/>
      <x:c r="C71" s="74"/>
      <x:c r="D71" s="74"/>
      <x:c r="E71" s="74"/>
      <x:c r="F71" s="74"/>
      <x:c r="G71" s="74"/>
      <x:c r="H71" s="74"/>
      <x:c r="I71" s="74"/>
      <x:c r="J71" s="74"/>
      <x:c r="K71" s="74"/>
      <x:c r="L71" s="74"/>
      <x:c r="M71" s="74"/>
      <x:c r="N71" s="74"/>
      <x:c r="O71" s="74"/>
      <x:c r="P71" s="74"/>
      <x:c r="Q71" s="74"/>
      <x:c r="R71" s="74"/>
      <x:c r="S71" s="74"/>
      <x:c r="T71" s="74"/>
      <x:c r="U71" s="74"/>
      <x:c r="V71" s="74"/>
    </x:row>
    <x:row r="72">
      <x:c r="A72" s="74"/>
      <x:c r="B72" s="74"/>
      <x:c r="C72" s="74"/>
      <x:c r="D72" s="74"/>
      <x:c r="E72" s="74"/>
      <x:c r="F72" s="74"/>
      <x:c r="G72" s="74"/>
      <x:c r="H72" s="74"/>
      <x:c r="I72" s="74"/>
      <x:c r="J72" s="74"/>
      <x:c r="K72" s="74"/>
      <x:c r="L72" s="74"/>
      <x:c r="M72" s="74"/>
      <x:c r="N72" s="74"/>
      <x:c r="O72" s="74"/>
      <x:c r="P72" s="74"/>
      <x:c r="Q72" s="74"/>
      <x:c r="R72" s="74"/>
      <x:c r="S72" s="74"/>
      <x:c r="T72" s="74"/>
      <x:c r="U72" s="74"/>
      <x:c r="V72" s="74"/>
    </x:row>
    <x:row r="73">
      <x:c r="A73" s="74"/>
      <x:c r="B73" s="74"/>
      <x:c r="C73" s="74"/>
      <x:c r="D73" s="74"/>
      <x:c r="E73" s="74"/>
      <x:c r="F73" s="74"/>
      <x:c r="G73" s="74"/>
      <x:c r="H73" s="74"/>
      <x:c r="I73" s="74"/>
      <x:c r="J73" s="74"/>
      <x:c r="K73" s="74"/>
      <x:c r="L73" s="74"/>
      <x:c r="M73" s="74"/>
      <x:c r="N73" s="74"/>
      <x:c r="O73" s="74"/>
      <x:c r="P73" s="74"/>
      <x:c r="Q73" s="74"/>
      <x:c r="R73" s="74"/>
      <x:c r="S73" s="74"/>
      <x:c r="T73" s="74"/>
      <x:c r="U73" s="74"/>
      <x:c r="V73" s="74"/>
    </x:row>
    <x:row r="74">
      <x:c r="A74" s="74"/>
      <x:c r="B74" s="74"/>
      <x:c r="C74" s="74"/>
      <x:c r="D74" s="74"/>
      <x:c r="E74" s="74"/>
      <x:c r="F74" s="74"/>
      <x:c r="G74" s="74"/>
      <x:c r="H74" s="74"/>
      <x:c r="I74" s="74"/>
      <x:c r="J74" s="74"/>
      <x:c r="K74" s="74"/>
      <x:c r="L74" s="74"/>
      <x:c r="M74" s="74"/>
      <x:c r="N74" s="74"/>
      <x:c r="O74" s="74"/>
      <x:c r="P74" s="74"/>
      <x:c r="Q74" s="74"/>
      <x:c r="R74" s="74"/>
      <x:c r="S74" s="74"/>
      <x:c r="T74" s="74"/>
      <x:c r="U74" s="74"/>
      <x:c r="V74" s="74"/>
    </x:row>
    <x:row r="75">
      <x:c r="A75" s="74"/>
      <x:c r="B75" s="74"/>
      <x:c r="C75" s="74"/>
      <x:c r="D75" s="74"/>
      <x:c r="E75" s="74"/>
      <x:c r="F75" s="74"/>
      <x:c r="G75" s="74"/>
      <x:c r="H75" s="74"/>
      <x:c r="I75" s="74"/>
      <x:c r="J75" s="74"/>
      <x:c r="K75" s="74"/>
      <x:c r="L75" s="74"/>
      <x:c r="M75" s="74"/>
      <x:c r="N75" s="74"/>
      <x:c r="O75" s="74"/>
      <x:c r="P75" s="74"/>
      <x:c r="Q75" s="74"/>
      <x:c r="R75" s="74"/>
      <x:c r="S75" s="74"/>
      <x:c r="T75" s="74"/>
      <x:c r="U75" s="74"/>
      <x:c r="V75" s="74"/>
    </x:row>
    <x:row r="76">
      <x:c r="A76" s="74"/>
      <x:c r="B76" s="74"/>
      <x:c r="C76" s="74"/>
      <x:c r="D76" s="74"/>
      <x:c r="E76" s="74"/>
      <x:c r="F76" s="74"/>
      <x:c r="G76" s="74"/>
      <x:c r="H76" s="74"/>
      <x:c r="I76" s="74"/>
      <x:c r="J76" s="74"/>
      <x:c r="K76" s="74"/>
      <x:c r="L76" s="74"/>
      <x:c r="M76" s="74"/>
      <x:c r="N76" s="74"/>
      <x:c r="O76" s="74"/>
      <x:c r="P76" s="74"/>
      <x:c r="Q76" s="74"/>
      <x:c r="R76" s="74"/>
      <x:c r="S76" s="74"/>
      <x:c r="T76" s="74"/>
      <x:c r="U76" s="74"/>
      <x:c r="V76" s="74"/>
    </x:row>
    <x:row r="77">
      <x:c r="A77" s="74"/>
      <x:c r="B77" s="74"/>
      <x:c r="C77" s="74"/>
      <x:c r="D77" s="74"/>
      <x:c r="E77" s="74"/>
      <x:c r="F77" s="74"/>
      <x:c r="G77" s="74"/>
      <x:c r="H77" s="74"/>
      <x:c r="I77" s="74"/>
      <x:c r="J77" s="74"/>
      <x:c r="K77" s="74"/>
      <x:c r="L77" s="74"/>
      <x:c r="M77" s="74"/>
      <x:c r="N77" s="74"/>
      <x:c r="O77" s="74"/>
      <x:c r="P77" s="74"/>
      <x:c r="Q77" s="74"/>
      <x:c r="R77" s="74"/>
      <x:c r="S77" s="74"/>
      <x:c r="T77" s="74"/>
      <x:c r="U77" s="74"/>
      <x:c r="V77" s="74"/>
    </x:row>
    <x:row r="78">
      <x:c r="A78" s="74"/>
      <x:c r="B78" s="74"/>
      <x:c r="C78" s="74"/>
      <x:c r="D78" s="74"/>
      <x:c r="E78" s="74"/>
      <x:c r="F78" s="74"/>
      <x:c r="G78" s="74"/>
      <x:c r="H78" s="74"/>
      <x:c r="I78" s="74"/>
      <x:c r="J78" s="74"/>
      <x:c r="K78" s="74"/>
      <x:c r="L78" s="74"/>
      <x:c r="M78" s="74"/>
      <x:c r="N78" s="74"/>
      <x:c r="O78" s="74"/>
      <x:c r="P78" s="74"/>
      <x:c r="Q78" s="74"/>
      <x:c r="R78" s="74"/>
      <x:c r="S78" s="74"/>
      <x:c r="T78" s="74"/>
      <x:c r="U78" s="74"/>
      <x:c r="V78" s="74"/>
    </x:row>
    <x:row r="79">
      <x:c r="A79" s="74"/>
      <x:c r="B79" s="74"/>
      <x:c r="C79" s="74"/>
      <x:c r="D79" s="74"/>
      <x:c r="E79" s="74"/>
      <x:c r="F79" s="74"/>
      <x:c r="G79" s="74"/>
      <x:c r="H79" s="74"/>
      <x:c r="I79" s="74"/>
      <x:c r="J79" s="74"/>
      <x:c r="K79" s="74"/>
      <x:c r="L79" s="74"/>
      <x:c r="M79" s="74"/>
      <x:c r="N79" s="74"/>
      <x:c r="O79" s="74"/>
      <x:c r="P79" s="74"/>
      <x:c r="Q79" s="74"/>
      <x:c r="R79" s="74"/>
      <x:c r="S79" s="74"/>
      <x:c r="T79" s="74"/>
      <x:c r="U79" s="74"/>
      <x:c r="V79" s="74"/>
    </x:row>
    <x:row r="80">
      <x:c r="A80" s="74"/>
      <x:c r="B80" s="74"/>
      <x:c r="C80" s="74"/>
      <x:c r="D80" s="74"/>
      <x:c r="E80" s="74"/>
      <x:c r="F80" s="74"/>
      <x:c r="G80" s="74"/>
      <x:c r="H80" s="74"/>
      <x:c r="I80" s="74"/>
      <x:c r="J80" s="74"/>
      <x:c r="K80" s="74"/>
      <x:c r="L80" s="74"/>
      <x:c r="M80" s="74"/>
      <x:c r="N80" s="74"/>
      <x:c r="O80" s="74"/>
      <x:c r="P80" s="74"/>
      <x:c r="Q80" s="74"/>
      <x:c r="R80" s="74"/>
      <x:c r="S80" s="74"/>
      <x:c r="T80" s="74"/>
      <x:c r="U80" s="74"/>
      <x:c r="V80" s="74"/>
    </x:row>
    <x:row r="81">
      <x:c r="A81" s="74"/>
      <x:c r="B81" s="74"/>
      <x:c r="C81" s="74"/>
      <x:c r="D81" s="74"/>
      <x:c r="E81" s="74"/>
      <x:c r="F81" s="74"/>
      <x:c r="G81" s="74"/>
      <x:c r="H81" s="74"/>
      <x:c r="I81" s="74"/>
      <x:c r="J81" s="74"/>
      <x:c r="K81" s="74"/>
      <x:c r="L81" s="74"/>
      <x:c r="M81" s="74"/>
      <x:c r="N81" s="74"/>
      <x:c r="O81" s="74"/>
      <x:c r="P81" s="74"/>
      <x:c r="Q81" s="74"/>
      <x:c r="R81" s="74"/>
      <x:c r="S81" s="74"/>
      <x:c r="T81" s="74"/>
      <x:c r="U81" s="74"/>
      <x:c r="V81" s="74"/>
    </x:row>
    <x:row r="82">
      <x:c r="A82" s="74"/>
      <x:c r="B82" s="74"/>
      <x:c r="C82" s="74"/>
      <x:c r="D82" s="74"/>
      <x:c r="E82" s="74"/>
      <x:c r="F82" s="74"/>
      <x:c r="G82" s="74"/>
      <x:c r="H82" s="74"/>
      <x:c r="I82" s="74"/>
      <x:c r="J82" s="74"/>
      <x:c r="K82" s="74"/>
      <x:c r="L82" s="74"/>
      <x:c r="M82" s="74"/>
      <x:c r="N82" s="74"/>
      <x:c r="O82" s="74"/>
      <x:c r="P82" s="74"/>
      <x:c r="Q82" s="74"/>
      <x:c r="R82" s="74"/>
      <x:c r="S82" s="74"/>
      <x:c r="T82" s="74"/>
      <x:c r="U82" s="74"/>
      <x:c r="V82" s="74"/>
    </x:row>
    <x:row r="83">
      <x:c r="A83" s="74"/>
      <x:c r="B83" s="74"/>
      <x:c r="C83" s="74"/>
      <x:c r="D83" s="74"/>
      <x:c r="E83" s="74"/>
      <x:c r="F83" s="74"/>
      <x:c r="G83" s="74"/>
      <x:c r="H83" s="74"/>
      <x:c r="I83" s="74"/>
      <x:c r="J83" s="74"/>
      <x:c r="K83" s="74"/>
      <x:c r="L83" s="74"/>
      <x:c r="M83" s="74"/>
      <x:c r="N83" s="74"/>
      <x:c r="O83" s="74"/>
      <x:c r="P83" s="74"/>
      <x:c r="Q83" s="74"/>
      <x:c r="R83" s="74"/>
      <x:c r="S83" s="74"/>
      <x:c r="T83" s="74"/>
      <x:c r="U83" s="74"/>
      <x:c r="V83" s="74"/>
    </x:row>
    <x:row r="84">
      <x:c r="A84" s="74"/>
      <x:c r="B84" s="74"/>
      <x:c r="C84" s="74"/>
      <x:c r="D84" s="74"/>
      <x:c r="E84" s="74"/>
      <x:c r="F84" s="74"/>
      <x:c r="G84" s="74"/>
      <x:c r="H84" s="74"/>
      <x:c r="I84" s="74"/>
      <x:c r="J84" s="74"/>
      <x:c r="K84" s="74"/>
      <x:c r="L84" s="74"/>
      <x:c r="M84" s="74"/>
      <x:c r="N84" s="74"/>
      <x:c r="O84" s="74"/>
      <x:c r="P84" s="74"/>
      <x:c r="Q84" s="74"/>
      <x:c r="R84" s="74"/>
      <x:c r="S84" s="74"/>
      <x:c r="T84" s="74"/>
      <x:c r="U84" s="74"/>
      <x:c r="V84" s="74"/>
    </x:row>
    <x:row r="85">
      <x:c r="A85" s="74"/>
      <x:c r="B85" s="74"/>
      <x:c r="C85" s="74"/>
      <x:c r="D85" s="74"/>
      <x:c r="E85" s="74"/>
      <x:c r="F85" s="74"/>
      <x:c r="G85" s="74"/>
      <x:c r="H85" s="74"/>
      <x:c r="I85" s="74"/>
      <x:c r="J85" s="74"/>
      <x:c r="K85" s="74"/>
      <x:c r="L85" s="74"/>
      <x:c r="M85" s="74"/>
      <x:c r="N85" s="74"/>
      <x:c r="O85" s="74"/>
      <x:c r="P85" s="74"/>
      <x:c r="Q85" s="74"/>
      <x:c r="R85" s="74"/>
      <x:c r="S85" s="74"/>
      <x:c r="T85" s="74"/>
      <x:c r="U85" s="74"/>
      <x:c r="V85" s="74"/>
    </x:row>
    <x:row r="86">
      <x:c r="A86" s="74"/>
      <x:c r="B86" s="74"/>
      <x:c r="C86" s="74"/>
      <x:c r="D86" s="74"/>
      <x:c r="E86" s="74"/>
      <x:c r="F86" s="74"/>
      <x:c r="G86" s="74"/>
      <x:c r="H86" s="74"/>
      <x:c r="I86" s="74"/>
      <x:c r="J86" s="74"/>
      <x:c r="K86" s="74"/>
      <x:c r="L86" s="74"/>
      <x:c r="M86" s="74"/>
      <x:c r="N86" s="74"/>
      <x:c r="O86" s="74"/>
      <x:c r="P86" s="74"/>
      <x:c r="Q86" s="74"/>
      <x:c r="R86" s="74"/>
      <x:c r="S86" s="74"/>
      <x:c r="T86" s="74"/>
      <x:c r="U86" s="74"/>
      <x:c r="V86" s="74"/>
    </x:row>
    <x:row r="87">
      <x:c r="A87" s="74"/>
      <x:c r="B87" s="74"/>
      <x:c r="C87" s="74"/>
      <x:c r="D87" s="74"/>
      <x:c r="E87" s="74"/>
      <x:c r="F87" s="74"/>
      <x:c r="G87" s="74"/>
      <x:c r="H87" s="74"/>
      <x:c r="I87" s="74"/>
      <x:c r="J87" s="74"/>
      <x:c r="K87" s="74"/>
      <x:c r="L87" s="74"/>
      <x:c r="M87" s="74"/>
      <x:c r="N87" s="74"/>
      <x:c r="O87" s="74"/>
      <x:c r="P87" s="74"/>
      <x:c r="Q87" s="74"/>
      <x:c r="R87" s="74"/>
      <x:c r="S87" s="74"/>
      <x:c r="T87" s="74"/>
      <x:c r="U87" s="74"/>
      <x:c r="V87" s="74"/>
    </x:row>
    <x:row r="88">
      <x:c r="A88" s="74"/>
      <x:c r="B88" s="74"/>
      <x:c r="C88" s="74"/>
      <x:c r="D88" s="74"/>
      <x:c r="E88" s="74"/>
      <x:c r="F88" s="74"/>
      <x:c r="G88" s="74"/>
      <x:c r="H88" s="74"/>
      <x:c r="I88" s="74"/>
      <x:c r="J88" s="74"/>
      <x:c r="K88" s="74"/>
      <x:c r="L88" s="74"/>
      <x:c r="M88" s="74"/>
      <x:c r="N88" s="74"/>
      <x:c r="O88" s="74"/>
      <x:c r="P88" s="74"/>
      <x:c r="Q88" s="74"/>
      <x:c r="R88" s="74"/>
      <x:c r="S88" s="74"/>
      <x:c r="T88" s="74"/>
      <x:c r="U88" s="74"/>
      <x:c r="V88" s="74"/>
    </x:row>
    <x:row r="89">
      <x:c r="A89" s="74"/>
      <x:c r="B89" s="74"/>
      <x:c r="C89" s="74"/>
      <x:c r="D89" s="74"/>
      <x:c r="E89" s="74"/>
      <x:c r="F89" s="74"/>
      <x:c r="G89" s="74"/>
      <x:c r="H89" s="74"/>
      <x:c r="I89" s="74"/>
      <x:c r="J89" s="74"/>
      <x:c r="K89" s="74"/>
      <x:c r="L89" s="74"/>
      <x:c r="M89" s="74"/>
      <x:c r="N89" s="74"/>
      <x:c r="O89" s="74"/>
      <x:c r="P89" s="74"/>
      <x:c r="Q89" s="74"/>
      <x:c r="R89" s="74"/>
      <x:c r="S89" s="74"/>
      <x:c r="T89" s="74"/>
      <x:c r="U89" s="74"/>
      <x:c r="V89" s="74"/>
    </x:row>
    <x:row r="90">
      <x:c r="A90" s="74"/>
      <x:c r="B90" s="74"/>
      <x:c r="C90" s="74"/>
      <x:c r="D90" s="74"/>
      <x:c r="E90" s="74"/>
      <x:c r="F90" s="74"/>
      <x:c r="G90" s="74"/>
      <x:c r="H90" s="74"/>
      <x:c r="I90" s="74"/>
      <x:c r="J90" s="74"/>
      <x:c r="K90" s="74"/>
      <x:c r="L90" s="74"/>
      <x:c r="M90" s="74"/>
      <x:c r="N90" s="74"/>
      <x:c r="O90" s="74"/>
      <x:c r="P90" s="74"/>
      <x:c r="Q90" s="74"/>
      <x:c r="R90" s="74"/>
      <x:c r="S90" s="74"/>
      <x:c r="T90" s="74"/>
      <x:c r="U90" s="74"/>
      <x:c r="V90" s="74"/>
    </x:row>
    <x:row r="91">
      <x:c r="A91" s="74"/>
      <x:c r="B91" s="74"/>
      <x:c r="C91" s="74"/>
      <x:c r="D91" s="74"/>
      <x:c r="E91" s="74"/>
      <x:c r="F91" s="74"/>
      <x:c r="G91" s="74"/>
      <x:c r="H91" s="74"/>
      <x:c r="I91" s="74"/>
      <x:c r="J91" s="74"/>
      <x:c r="K91" s="74"/>
      <x:c r="L91" s="74"/>
      <x:c r="M91" s="74"/>
      <x:c r="N91" s="74"/>
      <x:c r="O91" s="74"/>
      <x:c r="P91" s="74"/>
      <x:c r="Q91" s="74"/>
      <x:c r="R91" s="74"/>
      <x:c r="S91" s="74"/>
      <x:c r="T91" s="74"/>
      <x:c r="U91" s="74"/>
      <x:c r="V91" s="74"/>
    </x:row>
    <x:row r="92">
      <x:c r="A92" s="74"/>
      <x:c r="B92" s="74"/>
      <x:c r="C92" s="74"/>
      <x:c r="D92" s="74"/>
      <x:c r="E92" s="74"/>
      <x:c r="F92" s="74"/>
      <x:c r="G92" s="74"/>
      <x:c r="H92" s="74"/>
      <x:c r="I92" s="74"/>
      <x:c r="J92" s="74"/>
      <x:c r="K92" s="74"/>
      <x:c r="L92" s="74"/>
      <x:c r="M92" s="74"/>
      <x:c r="N92" s="74"/>
      <x:c r="O92" s="74"/>
      <x:c r="P92" s="74"/>
      <x:c r="Q92" s="74"/>
      <x:c r="R92" s="74"/>
      <x:c r="S92" s="74"/>
      <x:c r="T92" s="74"/>
      <x:c r="U92" s="74"/>
      <x:c r="V92" s="74"/>
    </x:row>
    <x:row r="93">
      <x:c r="A93" s="74"/>
      <x:c r="B93" s="74"/>
      <x:c r="C93" s="74"/>
      <x:c r="D93" s="74"/>
      <x:c r="E93" s="74"/>
      <x:c r="F93" s="74"/>
      <x:c r="G93" s="74"/>
      <x:c r="H93" s="74"/>
      <x:c r="I93" s="74"/>
      <x:c r="J93" s="74"/>
      <x:c r="K93" s="74"/>
      <x:c r="L93" s="74"/>
      <x:c r="M93" s="74"/>
      <x:c r="N93" s="74"/>
      <x:c r="O93" s="74"/>
      <x:c r="P93" s="74"/>
      <x:c r="Q93" s="74"/>
      <x:c r="R93" s="74"/>
      <x:c r="S93" s="74"/>
      <x:c r="T93" s="74"/>
      <x:c r="U93" s="74"/>
      <x:c r="V93" s="74"/>
    </x:row>
    <x:row r="94">
      <x:c r="A94" s="74"/>
      <x:c r="B94" s="74"/>
      <x:c r="C94" s="74"/>
      <x:c r="D94" s="74"/>
      <x:c r="E94" s="74"/>
      <x:c r="F94" s="74"/>
      <x:c r="G94" s="74"/>
      <x:c r="H94" s="74"/>
      <x:c r="I94" s="74"/>
      <x:c r="J94" s="74"/>
      <x:c r="K94" s="74"/>
      <x:c r="L94" s="74"/>
      <x:c r="M94" s="74"/>
      <x:c r="N94" s="74"/>
      <x:c r="O94" s="74"/>
      <x:c r="P94" s="74"/>
      <x:c r="Q94" s="74"/>
      <x:c r="R94" s="74"/>
      <x:c r="S94" s="74"/>
      <x:c r="T94" s="74"/>
      <x:c r="U94" s="74"/>
      <x:c r="V94" s="74"/>
    </x:row>
    <x:row r="95">
      <x:c r="A95" s="74"/>
      <x:c r="B95" s="74"/>
      <x:c r="C95" s="74"/>
      <x:c r="D95" s="74"/>
      <x:c r="E95" s="74"/>
      <x:c r="F95" s="74"/>
      <x:c r="G95" s="74"/>
      <x:c r="H95" s="74"/>
      <x:c r="I95" s="74"/>
      <x:c r="J95" s="74"/>
      <x:c r="K95" s="74"/>
      <x:c r="L95" s="74"/>
      <x:c r="M95" s="74"/>
      <x:c r="N95" s="74"/>
      <x:c r="O95" s="74"/>
      <x:c r="P95" s="74"/>
      <x:c r="Q95" s="74"/>
      <x:c r="R95" s="74"/>
      <x:c r="S95" s="74"/>
      <x:c r="T95" s="74"/>
      <x:c r="U95" s="74"/>
      <x:c r="V95" s="74"/>
    </x:row>
    <x:row r="96">
      <x:c r="A96" s="74"/>
      <x:c r="B96" s="74"/>
      <x:c r="C96" s="74"/>
      <x:c r="D96" s="74"/>
      <x:c r="E96" s="74"/>
      <x:c r="F96" s="74"/>
      <x:c r="G96" s="74"/>
      <x:c r="H96" s="74"/>
      <x:c r="I96" s="74"/>
      <x:c r="J96" s="74"/>
      <x:c r="K96" s="74"/>
      <x:c r="L96" s="74"/>
      <x:c r="M96" s="74"/>
      <x:c r="N96" s="74"/>
      <x:c r="O96" s="74"/>
      <x:c r="P96" s="74"/>
      <x:c r="Q96" s="74"/>
      <x:c r="R96" s="74"/>
      <x:c r="S96" s="74"/>
      <x:c r="T96" s="74"/>
      <x:c r="U96" s="74"/>
      <x:c r="V96" s="74"/>
    </x:row>
    <x:row r="97">
      <x:c r="A97" s="74"/>
      <x:c r="B97" s="74"/>
      <x:c r="C97" s="74"/>
      <x:c r="D97" s="74"/>
      <x:c r="E97" s="74"/>
      <x:c r="F97" s="74"/>
      <x:c r="G97" s="74"/>
      <x:c r="H97" s="74"/>
      <x:c r="I97" s="74"/>
      <x:c r="J97" s="74"/>
      <x:c r="K97" s="74"/>
      <x:c r="L97" s="74"/>
      <x:c r="M97" s="74"/>
      <x:c r="N97" s="74"/>
      <x:c r="O97" s="74"/>
      <x:c r="P97" s="74"/>
      <x:c r="Q97" s="74"/>
      <x:c r="R97" s="74"/>
      <x:c r="S97" s="74"/>
      <x:c r="T97" s="74"/>
      <x:c r="U97" s="74"/>
      <x:c r="V97" s="74"/>
    </x:row>
    <x:row r="98">
      <x:c r="A98" s="74"/>
      <x:c r="B98" s="74"/>
      <x:c r="C98" s="74"/>
      <x:c r="D98" s="74"/>
      <x:c r="E98" s="74"/>
      <x:c r="F98" s="74"/>
      <x:c r="G98" s="74"/>
      <x:c r="H98" s="74"/>
      <x:c r="I98" s="74"/>
      <x:c r="J98" s="74"/>
      <x:c r="K98" s="74"/>
      <x:c r="L98" s="74"/>
      <x:c r="M98" s="74"/>
      <x:c r="N98" s="74"/>
      <x:c r="O98" s="74"/>
      <x:c r="P98" s="74"/>
      <x:c r="Q98" s="74"/>
      <x:c r="R98" s="74"/>
      <x:c r="S98" s="74"/>
      <x:c r="T98" s="74"/>
      <x:c r="U98" s="74"/>
      <x:c r="V98" s="74"/>
    </x:row>
    <x:row r="99">
      <x:c r="A99" s="74"/>
      <x:c r="B99" s="74"/>
      <x:c r="C99" s="74"/>
      <x:c r="D99" s="74"/>
      <x:c r="E99" s="74"/>
      <x:c r="F99" s="74"/>
      <x:c r="G99" s="74"/>
      <x:c r="H99" s="74"/>
      <x:c r="I99" s="74"/>
      <x:c r="J99" s="74"/>
      <x:c r="K99" s="74"/>
      <x:c r="L99" s="74"/>
      <x:c r="M99" s="74"/>
      <x:c r="N99" s="74"/>
      <x:c r="O99" s="74"/>
      <x:c r="P99" s="74"/>
      <x:c r="Q99" s="74"/>
      <x:c r="R99" s="74"/>
      <x:c r="S99" s="74"/>
      <x:c r="T99" s="74"/>
      <x:c r="U99" s="74"/>
      <x:c r="V99" s="74"/>
    </x:row>
    <x:row r="100">
      <x:c r="A100" s="74"/>
      <x:c r="B100" s="74"/>
      <x:c r="C100" s="74"/>
      <x:c r="D100" s="74"/>
      <x:c r="E100" s="74"/>
      <x:c r="F100" s="74"/>
      <x:c r="G100" s="74"/>
      <x:c r="H100" s="74"/>
      <x:c r="I100" s="74"/>
      <x:c r="J100" s="74"/>
      <x:c r="K100" s="74"/>
      <x:c r="L100" s="74"/>
      <x:c r="M100" s="74"/>
      <x:c r="N100" s="74"/>
      <x:c r="O100" s="74"/>
      <x:c r="P100" s="74"/>
      <x:c r="Q100" s="74"/>
      <x:c r="R100" s="74"/>
      <x:c r="S100" s="74"/>
      <x:c r="T100" s="74"/>
      <x:c r="U100" s="74"/>
      <x:c r="V100" s="74"/>
    </x:row>
    <x:row r="101">
      <x:c r="A101" s="74"/>
      <x:c r="B101" s="74"/>
      <x:c r="C101" s="74"/>
      <x:c r="D101" s="74"/>
      <x:c r="E101" s="74"/>
      <x:c r="F101" s="74"/>
      <x:c r="G101" s="74"/>
      <x:c r="H101" s="74"/>
      <x:c r="I101" s="74"/>
      <x:c r="J101" s="74"/>
      <x:c r="K101" s="74"/>
      <x:c r="L101" s="74"/>
      <x:c r="M101" s="74"/>
      <x:c r="N101" s="74"/>
      <x:c r="O101" s="74"/>
      <x:c r="P101" s="74"/>
      <x:c r="Q101" s="74"/>
      <x:c r="R101" s="74"/>
      <x:c r="S101" s="74"/>
      <x:c r="T101" s="74"/>
      <x:c r="U101" s="74"/>
      <x:c r="V101" s="74"/>
    </x:row>
    <x:row r="102">
      <x:c r="A102" s="74"/>
      <x:c r="B102" s="74"/>
      <x:c r="C102" s="74"/>
      <x:c r="D102" s="74"/>
      <x:c r="E102" s="74"/>
      <x:c r="F102" s="74"/>
      <x:c r="G102" s="74"/>
      <x:c r="H102" s="74"/>
      <x:c r="I102" s="74"/>
      <x:c r="J102" s="74"/>
      <x:c r="K102" s="74"/>
      <x:c r="L102" s="74"/>
      <x:c r="M102" s="74"/>
      <x:c r="N102" s="74"/>
      <x:c r="O102" s="74"/>
      <x:c r="P102" s="74"/>
      <x:c r="Q102" s="74"/>
      <x:c r="R102" s="74"/>
      <x:c r="S102" s="74"/>
      <x:c r="T102" s="74"/>
      <x:c r="U102" s="74"/>
      <x:c r="V102" s="74"/>
    </x:row>
    <x:row r="103">
      <x:c r="A103" s="74"/>
      <x:c r="B103" s="74"/>
      <x:c r="C103" s="74"/>
      <x:c r="D103" s="74"/>
      <x:c r="E103" s="74"/>
      <x:c r="F103" s="74"/>
      <x:c r="G103" s="74"/>
      <x:c r="H103" s="74"/>
      <x:c r="I103" s="74"/>
      <x:c r="J103" s="74"/>
      <x:c r="K103" s="74"/>
      <x:c r="L103" s="74"/>
      <x:c r="M103" s="74"/>
      <x:c r="N103" s="74"/>
      <x:c r="O103" s="74"/>
      <x:c r="P103" s="74"/>
      <x:c r="Q103" s="74"/>
      <x:c r="R103" s="74"/>
      <x:c r="S103" s="74"/>
      <x:c r="T103" s="74"/>
      <x:c r="U103" s="74"/>
      <x:c r="V103" s="74"/>
    </x:row>
    <x:row r="104">
      <x:c r="A104" s="74"/>
      <x:c r="B104" s="74"/>
      <x:c r="C104" s="74"/>
      <x:c r="D104" s="74"/>
      <x:c r="E104" s="74"/>
      <x:c r="F104" s="74"/>
      <x:c r="G104" s="74"/>
      <x:c r="H104" s="74"/>
      <x:c r="I104" s="74"/>
      <x:c r="J104" s="74"/>
      <x:c r="K104" s="74"/>
      <x:c r="L104" s="74"/>
      <x:c r="M104" s="74"/>
      <x:c r="N104" s="74"/>
      <x:c r="O104" s="74"/>
      <x:c r="P104" s="74"/>
      <x:c r="Q104" s="74"/>
      <x:c r="R104" s="74"/>
      <x:c r="S104" s="74"/>
      <x:c r="T104" s="74"/>
      <x:c r="U104" s="74"/>
      <x:c r="V104" s="74"/>
    </x:row>
    <x:row r="105">
      <x:c r="A105" s="74"/>
      <x:c r="B105" s="74"/>
      <x:c r="C105" s="74"/>
      <x:c r="D105" s="74"/>
      <x:c r="E105" s="74"/>
      <x:c r="F105" s="74"/>
      <x:c r="G105" s="74"/>
      <x:c r="H105" s="74"/>
      <x:c r="I105" s="74"/>
      <x:c r="J105" s="74"/>
      <x:c r="K105" s="74"/>
      <x:c r="L105" s="74"/>
      <x:c r="M105" s="74"/>
      <x:c r="N105" s="74"/>
      <x:c r="O105" s="74"/>
      <x:c r="P105" s="74"/>
      <x:c r="Q105" s="74"/>
      <x:c r="R105" s="74"/>
      <x:c r="S105" s="74"/>
      <x:c r="T105" s="74"/>
      <x:c r="U105" s="74"/>
      <x:c r="V105" s="74"/>
    </x:row>
    <x:row r="106">
      <x:c r="A106" s="74"/>
      <x:c r="B106" s="74"/>
      <x:c r="C106" s="74"/>
      <x:c r="D106" s="74"/>
      <x:c r="E106" s="74"/>
      <x:c r="F106" s="74"/>
      <x:c r="G106" s="74"/>
      <x:c r="H106" s="74"/>
      <x:c r="I106" s="74"/>
      <x:c r="J106" s="74"/>
      <x:c r="K106" s="74"/>
      <x:c r="L106" s="74"/>
      <x:c r="M106" s="74"/>
      <x:c r="N106" s="74"/>
      <x:c r="O106" s="74"/>
      <x:c r="P106" s="74"/>
      <x:c r="Q106" s="74"/>
      <x:c r="R106" s="74"/>
      <x:c r="S106" s="74"/>
      <x:c r="T106" s="74"/>
      <x:c r="U106" s="74"/>
      <x:c r="V106" s="74"/>
    </x:row>
    <x:row r="107">
      <x:c r="A107" s="74"/>
      <x:c r="B107" s="74"/>
      <x:c r="C107" s="74"/>
      <x:c r="D107" s="74"/>
      <x:c r="E107" s="74"/>
      <x:c r="F107" s="74"/>
      <x:c r="G107" s="74"/>
      <x:c r="H107" s="74"/>
      <x:c r="I107" s="74"/>
      <x:c r="J107" s="74"/>
      <x:c r="K107" s="74"/>
      <x:c r="L107" s="74"/>
      <x:c r="M107" s="74"/>
      <x:c r="N107" s="74"/>
      <x:c r="O107" s="74"/>
      <x:c r="P107" s="74"/>
      <x:c r="Q107" s="74"/>
      <x:c r="R107" s="74"/>
      <x:c r="S107" s="74"/>
      <x:c r="T107" s="74"/>
      <x:c r="U107" s="74"/>
      <x:c r="V107" s="74"/>
    </x:row>
    <x:row r="108">
      <x:c r="A108" s="74"/>
      <x:c r="B108" s="74"/>
      <x:c r="C108" s="74"/>
      <x:c r="D108" s="74"/>
      <x:c r="E108" s="74"/>
      <x:c r="F108" s="74"/>
      <x:c r="G108" s="74"/>
      <x:c r="H108" s="74"/>
      <x:c r="I108" s="74"/>
      <x:c r="J108" s="74"/>
      <x:c r="K108" s="74"/>
      <x:c r="L108" s="74"/>
      <x:c r="M108" s="74"/>
      <x:c r="N108" s="74"/>
      <x:c r="O108" s="74"/>
      <x:c r="P108" s="74"/>
      <x:c r="Q108" s="74"/>
      <x:c r="R108" s="74"/>
      <x:c r="S108" s="74"/>
      <x:c r="T108" s="74"/>
      <x:c r="U108" s="74"/>
      <x:c r="V108" s="74"/>
    </x:row>
    <x:row r="109">
      <x:c r="A109" s="74"/>
      <x:c r="B109" s="74"/>
      <x:c r="C109" s="74"/>
      <x:c r="D109" s="74"/>
      <x:c r="E109" s="74"/>
      <x:c r="F109" s="74"/>
      <x:c r="G109" s="74"/>
      <x:c r="H109" s="74"/>
      <x:c r="I109" s="74"/>
      <x:c r="J109" s="74"/>
      <x:c r="K109" s="74"/>
      <x:c r="L109" s="74"/>
      <x:c r="M109" s="74"/>
      <x:c r="N109" s="74"/>
      <x:c r="O109" s="74"/>
      <x:c r="P109" s="74"/>
      <x:c r="Q109" s="74"/>
      <x:c r="R109" s="74"/>
      <x:c r="S109" s="74"/>
      <x:c r="T109" s="74"/>
      <x:c r="U109" s="74"/>
      <x:c r="V109" s="74"/>
    </x:row>
    <x:row r="110">
      <x:c r="A110" s="74"/>
      <x:c r="B110" s="74"/>
      <x:c r="C110" s="74"/>
      <x:c r="D110" s="74"/>
      <x:c r="E110" s="74"/>
      <x:c r="F110" s="74"/>
      <x:c r="G110" s="74"/>
      <x:c r="H110" s="74"/>
      <x:c r="I110" s="74"/>
      <x:c r="J110" s="74"/>
      <x:c r="K110" s="74"/>
      <x:c r="L110" s="74"/>
      <x:c r="M110" s="74"/>
      <x:c r="N110" s="74"/>
      <x:c r="O110" s="74"/>
      <x:c r="P110" s="74"/>
      <x:c r="Q110" s="74"/>
      <x:c r="R110" s="74"/>
      <x:c r="S110" s="74"/>
      <x:c r="T110" s="74"/>
      <x:c r="U110" s="74"/>
      <x:c r="V110" s="74"/>
    </x:row>
    <x:row r="111">
      <x:c r="A111" s="74"/>
      <x:c r="B111" s="74"/>
      <x:c r="C111" s="74"/>
      <x:c r="D111" s="74"/>
      <x:c r="E111" s="74"/>
      <x:c r="F111" s="74"/>
      <x:c r="G111" s="74"/>
      <x:c r="H111" s="74"/>
      <x:c r="I111" s="74"/>
      <x:c r="J111" s="74"/>
      <x:c r="K111" s="74"/>
      <x:c r="L111" s="74"/>
      <x:c r="M111" s="74"/>
      <x:c r="N111" s="74"/>
      <x:c r="O111" s="74"/>
      <x:c r="P111" s="74"/>
      <x:c r="Q111" s="74"/>
      <x:c r="R111" s="74"/>
      <x:c r="S111" s="74"/>
      <x:c r="T111" s="74"/>
      <x:c r="U111" s="74"/>
      <x:c r="V111" s="74"/>
    </x:row>
    <x:row r="112">
      <x:c r="A112" s="74"/>
      <x:c r="B112" s="74"/>
      <x:c r="C112" s="74"/>
      <x:c r="D112" s="74"/>
      <x:c r="E112" s="74"/>
      <x:c r="F112" s="74"/>
      <x:c r="G112" s="74"/>
      <x:c r="H112" s="74"/>
      <x:c r="I112" s="74"/>
      <x:c r="J112" s="74"/>
      <x:c r="K112" s="74"/>
      <x:c r="L112" s="74"/>
      <x:c r="M112" s="74"/>
      <x:c r="N112" s="74"/>
      <x:c r="O112" s="74"/>
      <x:c r="P112" s="74"/>
      <x:c r="Q112" s="74"/>
      <x:c r="R112" s="74"/>
      <x:c r="S112" s="74"/>
      <x:c r="T112" s="74"/>
      <x:c r="U112" s="74"/>
      <x:c r="V112" s="74"/>
    </x:row>
    <x:row r="113">
      <x:c r="A113" s="74"/>
      <x:c r="B113" s="74"/>
      <x:c r="C113" s="74"/>
      <x:c r="D113" s="74"/>
      <x:c r="E113" s="74"/>
      <x:c r="F113" s="74"/>
      <x:c r="G113" s="74"/>
      <x:c r="H113" s="74"/>
      <x:c r="I113" s="74"/>
      <x:c r="J113" s="74"/>
      <x:c r="K113" s="74"/>
      <x:c r="L113" s="74"/>
      <x:c r="M113" s="74"/>
      <x:c r="N113" s="74"/>
      <x:c r="O113" s="74"/>
      <x:c r="P113" s="74"/>
      <x:c r="Q113" s="74"/>
      <x:c r="R113" s="74"/>
      <x:c r="S113" s="74"/>
      <x:c r="T113" s="74"/>
      <x:c r="U113" s="74"/>
      <x:c r="V113" s="74"/>
    </x:row>
    <x:row r="114">
      <x:c r="A114" s="74"/>
      <x:c r="B114" s="74"/>
      <x:c r="C114" s="74"/>
      <x:c r="D114" s="74"/>
      <x:c r="E114" s="74"/>
      <x:c r="F114" s="74"/>
      <x:c r="G114" s="74"/>
      <x:c r="H114" s="74"/>
      <x:c r="I114" s="74"/>
      <x:c r="J114" s="74"/>
      <x:c r="K114" s="74"/>
      <x:c r="L114" s="74"/>
      <x:c r="M114" s="74"/>
      <x:c r="N114" s="74"/>
      <x:c r="O114" s="74"/>
      <x:c r="P114" s="74"/>
      <x:c r="Q114" s="74"/>
      <x:c r="R114" s="74"/>
      <x:c r="S114" s="74"/>
      <x:c r="T114" s="74"/>
      <x:c r="U114" s="74"/>
      <x:c r="V114" s="74"/>
    </x:row>
    <x:row r="115">
      <x:c r="A115" s="74"/>
      <x:c r="B115" s="74"/>
      <x:c r="C115" s="74"/>
      <x:c r="D115" s="74"/>
      <x:c r="E115" s="74"/>
      <x:c r="F115" s="74"/>
      <x:c r="G115" s="74"/>
      <x:c r="H115" s="74"/>
      <x:c r="I115" s="74"/>
      <x:c r="J115" s="74"/>
      <x:c r="K115" s="74"/>
      <x:c r="L115" s="74"/>
      <x:c r="M115" s="74"/>
      <x:c r="N115" s="74"/>
      <x:c r="O115" s="74"/>
      <x:c r="P115" s="74"/>
      <x:c r="Q115" s="74"/>
      <x:c r="R115" s="74"/>
      <x:c r="S115" s="74"/>
      <x:c r="T115" s="74"/>
      <x:c r="U115" s="74"/>
      <x:c r="V115" s="74"/>
    </x:row>
    <x:row r="116">
      <x:c r="A116" s="74"/>
      <x:c r="B116" s="74"/>
      <x:c r="C116" s="74"/>
      <x:c r="D116" s="74"/>
      <x:c r="E116" s="74"/>
      <x:c r="F116" s="74"/>
      <x:c r="G116" s="74"/>
      <x:c r="H116" s="74"/>
      <x:c r="I116" s="74"/>
      <x:c r="J116" s="74"/>
      <x:c r="K116" s="74"/>
      <x:c r="L116" s="74"/>
      <x:c r="M116" s="74"/>
      <x:c r="N116" s="74"/>
      <x:c r="O116" s="74"/>
      <x:c r="P116" s="74"/>
      <x:c r="Q116" s="74"/>
      <x:c r="R116" s="74"/>
      <x:c r="S116" s="74"/>
      <x:c r="T116" s="74"/>
      <x:c r="U116" s="74"/>
      <x:c r="V116" s="74"/>
    </x:row>
    <x:row r="117">
      <x:c r="A117" s="74"/>
      <x:c r="B117" s="74"/>
      <x:c r="C117" s="74"/>
      <x:c r="D117" s="74"/>
      <x:c r="E117" s="74"/>
      <x:c r="F117" s="74"/>
      <x:c r="G117" s="74"/>
      <x:c r="H117" s="74"/>
      <x:c r="I117" s="74"/>
      <x:c r="J117" s="74"/>
      <x:c r="K117" s="74"/>
      <x:c r="L117" s="74"/>
      <x:c r="M117" s="74"/>
      <x:c r="N117" s="74"/>
      <x:c r="O117" s="74"/>
      <x:c r="P117" s="74"/>
      <x:c r="Q117" s="74"/>
      <x:c r="R117" s="74"/>
      <x:c r="S117" s="74"/>
      <x:c r="T117" s="74"/>
      <x:c r="U117" s="74"/>
      <x:c r="V117" s="74"/>
    </x:row>
    <x:row r="118">
      <x:c r="A118" s="74"/>
      <x:c r="B118" s="74"/>
      <x:c r="C118" s="74"/>
      <x:c r="D118" s="74"/>
      <x:c r="E118" s="74"/>
      <x:c r="F118" s="74"/>
      <x:c r="G118" s="74"/>
      <x:c r="H118" s="74"/>
      <x:c r="I118" s="74"/>
      <x:c r="J118" s="74"/>
      <x:c r="K118" s="74"/>
      <x:c r="L118" s="74"/>
      <x:c r="M118" s="74"/>
      <x:c r="N118" s="74"/>
      <x:c r="O118" s="74"/>
      <x:c r="P118" s="74"/>
      <x:c r="Q118" s="74"/>
      <x:c r="R118" s="74"/>
      <x:c r="S118" s="74"/>
      <x:c r="T118" s="74"/>
      <x:c r="U118" s="74"/>
      <x:c r="V118" s="74"/>
    </x:row>
    <x:row r="119">
      <x:c r="A119" s="74"/>
      <x:c r="B119" s="74"/>
      <x:c r="C119" s="74"/>
      <x:c r="D119" s="74"/>
      <x:c r="E119" s="74"/>
      <x:c r="F119" s="74"/>
      <x:c r="G119" s="74"/>
      <x:c r="H119" s="74"/>
      <x:c r="I119" s="74"/>
      <x:c r="J119" s="74"/>
      <x:c r="K119" s="74"/>
      <x:c r="L119" s="74"/>
      <x:c r="M119" s="74"/>
      <x:c r="N119" s="74"/>
      <x:c r="O119" s="74"/>
      <x:c r="P119" s="74"/>
      <x:c r="Q119" s="74"/>
      <x:c r="R119" s="74"/>
      <x:c r="S119" s="74"/>
      <x:c r="T119" s="74"/>
      <x:c r="U119" s="74"/>
      <x:c r="V119" s="74"/>
    </x:row>
    <x:row r="120">
      <x:c r="A120" s="74"/>
      <x:c r="B120" s="74"/>
      <x:c r="C120" s="74"/>
      <x:c r="D120" s="74"/>
      <x:c r="E120" s="74"/>
      <x:c r="F120" s="74"/>
      <x:c r="G120" s="74"/>
      <x:c r="H120" s="74"/>
      <x:c r="I120" s="74"/>
      <x:c r="J120" s="74"/>
      <x:c r="K120" s="74"/>
      <x:c r="L120" s="74"/>
      <x:c r="M120" s="74"/>
      <x:c r="N120" s="74"/>
      <x:c r="O120" s="74"/>
      <x:c r="P120" s="74"/>
      <x:c r="Q120" s="74"/>
      <x:c r="R120" s="74"/>
      <x:c r="S120" s="74"/>
      <x:c r="T120" s="74"/>
      <x:c r="U120" s="74"/>
      <x:c r="V120" s="74"/>
    </x:row>
    <x:row r="121">
      <x:c r="A121" s="74"/>
      <x:c r="B121" s="74"/>
      <x:c r="C121" s="74"/>
      <x:c r="D121" s="74"/>
      <x:c r="E121" s="74"/>
      <x:c r="F121" s="74"/>
      <x:c r="G121" s="74"/>
      <x:c r="H121" s="74"/>
      <x:c r="I121" s="74"/>
      <x:c r="J121" s="74"/>
      <x:c r="K121" s="74"/>
      <x:c r="L121" s="74"/>
      <x:c r="M121" s="74"/>
      <x:c r="N121" s="74"/>
      <x:c r="O121" s="74"/>
      <x:c r="P121" s="74"/>
      <x:c r="Q121" s="74"/>
      <x:c r="R121" s="74"/>
      <x:c r="S121" s="74"/>
      <x:c r="T121" s="74"/>
      <x:c r="U121" s="74"/>
      <x:c r="V121" s="74"/>
    </x:row>
    <x:row r="122">
      <x:c r="A122" s="74"/>
      <x:c r="B122" s="74"/>
      <x:c r="C122" s="74"/>
      <x:c r="D122" s="74"/>
      <x:c r="E122" s="74"/>
      <x:c r="F122" s="74"/>
      <x:c r="G122" s="74"/>
      <x:c r="H122" s="74"/>
      <x:c r="I122" s="74"/>
      <x:c r="J122" s="74"/>
      <x:c r="K122" s="74"/>
      <x:c r="L122" s="74"/>
      <x:c r="M122" s="74"/>
      <x:c r="N122" s="74"/>
      <x:c r="O122" s="74"/>
      <x:c r="P122" s="74"/>
      <x:c r="Q122" s="74"/>
      <x:c r="R122" s="74"/>
      <x:c r="S122" s="74"/>
      <x:c r="T122" s="74"/>
      <x:c r="U122" s="74"/>
      <x:c r="V122" s="74"/>
    </x:row>
    <x:row r="123">
      <x:c r="A123" s="74"/>
      <x:c r="B123" s="74"/>
      <x:c r="C123" s="74"/>
      <x:c r="D123" s="74"/>
      <x:c r="E123" s="74"/>
      <x:c r="F123" s="74"/>
      <x:c r="G123" s="74"/>
      <x:c r="H123" s="74"/>
      <x:c r="I123" s="74"/>
      <x:c r="J123" s="74"/>
      <x:c r="K123" s="74"/>
      <x:c r="L123" s="74"/>
      <x:c r="M123" s="74"/>
      <x:c r="N123" s="74"/>
      <x:c r="O123" s="74"/>
      <x:c r="P123" s="74"/>
      <x:c r="Q123" s="74"/>
      <x:c r="R123" s="74"/>
      <x:c r="S123" s="74"/>
      <x:c r="T123" s="74"/>
      <x:c r="U123" s="74"/>
      <x:c r="V123" s="74"/>
    </x:row>
    <x:row r="124">
      <x:c r="A124" s="74"/>
      <x:c r="B124" s="74"/>
      <x:c r="C124" s="74"/>
      <x:c r="D124" s="74"/>
      <x:c r="E124" s="74"/>
      <x:c r="F124" s="74"/>
      <x:c r="G124" s="74"/>
      <x:c r="H124" s="74"/>
      <x:c r="I124" s="74"/>
      <x:c r="J124" s="74"/>
      <x:c r="K124" s="74"/>
      <x:c r="L124" s="74"/>
      <x:c r="M124" s="74"/>
      <x:c r="N124" s="74"/>
      <x:c r="O124" s="74"/>
      <x:c r="P124" s="74"/>
      <x:c r="Q124" s="74"/>
      <x:c r="R124" s="74"/>
      <x:c r="S124" s="74"/>
      <x:c r="T124" s="74"/>
      <x:c r="U124" s="74"/>
      <x:c r="V124" s="74"/>
    </x:row>
    <x:row r="125">
      <x:c r="A125" s="74"/>
      <x:c r="B125" s="74"/>
      <x:c r="C125" s="74"/>
      <x:c r="D125" s="74"/>
      <x:c r="E125" s="74"/>
      <x:c r="F125" s="74"/>
      <x:c r="G125" s="74"/>
      <x:c r="H125" s="74"/>
      <x:c r="I125" s="74"/>
      <x:c r="J125" s="74"/>
      <x:c r="K125" s="74"/>
      <x:c r="L125" s="74"/>
      <x:c r="M125" s="74"/>
      <x:c r="N125" s="74"/>
      <x:c r="O125" s="74"/>
      <x:c r="P125" s="74"/>
      <x:c r="Q125" s="74"/>
      <x:c r="R125" s="74"/>
      <x:c r="S125" s="74"/>
      <x:c r="T125" s="74"/>
      <x:c r="U125" s="74"/>
      <x:c r="V125" s="74"/>
    </x:row>
    <x:row r="126">
      <x:c r="A126" s="74"/>
      <x:c r="B126" s="74"/>
      <x:c r="C126" s="74"/>
      <x:c r="D126" s="74"/>
      <x:c r="E126" s="74"/>
      <x:c r="F126" s="74"/>
      <x:c r="G126" s="74"/>
      <x:c r="H126" s="74"/>
      <x:c r="I126" s="74"/>
      <x:c r="J126" s="74"/>
      <x:c r="K126" s="74"/>
      <x:c r="L126" s="74"/>
      <x:c r="M126" s="74"/>
      <x:c r="N126" s="74"/>
      <x:c r="O126" s="74"/>
      <x:c r="P126" s="74"/>
      <x:c r="Q126" s="74"/>
      <x:c r="R126" s="74"/>
      <x:c r="S126" s="74"/>
      <x:c r="T126" s="74"/>
      <x:c r="U126" s="74"/>
      <x:c r="V126" s="74"/>
    </x:row>
    <x:row r="127">
      <x:c r="A127" s="74"/>
      <x:c r="B127" s="74"/>
      <x:c r="C127" s="74"/>
      <x:c r="D127" s="74"/>
      <x:c r="E127" s="74"/>
      <x:c r="F127" s="74"/>
      <x:c r="G127" s="74"/>
      <x:c r="H127" s="74"/>
      <x:c r="I127" s="74"/>
      <x:c r="J127" s="74"/>
      <x:c r="K127" s="74"/>
      <x:c r="L127" s="74"/>
      <x:c r="M127" s="74"/>
      <x:c r="N127" s="74"/>
      <x:c r="O127" s="74"/>
      <x:c r="P127" s="74"/>
      <x:c r="Q127" s="74"/>
      <x:c r="R127" s="74"/>
      <x:c r="S127" s="74"/>
      <x:c r="T127" s="74"/>
      <x:c r="U127" s="74"/>
      <x:c r="V127" s="74"/>
    </x:row>
    <x:row r="128">
      <x:c r="A128" s="74"/>
      <x:c r="B128" s="74"/>
      <x:c r="C128" s="74"/>
      <x:c r="D128" s="74"/>
      <x:c r="E128" s="74"/>
      <x:c r="F128" s="74"/>
      <x:c r="G128" s="74"/>
      <x:c r="H128" s="74"/>
      <x:c r="I128" s="74"/>
      <x:c r="J128" s="74"/>
      <x:c r="K128" s="74"/>
      <x:c r="L128" s="74"/>
      <x:c r="M128" s="74"/>
      <x:c r="N128" s="74"/>
      <x:c r="O128" s="74"/>
      <x:c r="P128" s="74"/>
      <x:c r="Q128" s="74"/>
      <x:c r="R128" s="74"/>
      <x:c r="S128" s="74"/>
      <x:c r="T128" s="74"/>
      <x:c r="U128" s="74"/>
      <x:c r="V128" s="74"/>
    </x:row>
    <x:row r="129">
      <x:c r="A129" s="74"/>
      <x:c r="B129" s="74"/>
      <x:c r="C129" s="74"/>
      <x:c r="D129" s="74"/>
      <x:c r="E129" s="74"/>
      <x:c r="F129" s="74"/>
      <x:c r="G129" s="74"/>
      <x:c r="H129" s="74"/>
      <x:c r="I129" s="74"/>
      <x:c r="J129" s="74"/>
      <x:c r="K129" s="74"/>
      <x:c r="L129" s="74"/>
      <x:c r="M129" s="74"/>
      <x:c r="N129" s="74"/>
      <x:c r="O129" s="74"/>
      <x:c r="P129" s="74"/>
      <x:c r="Q129" s="74"/>
      <x:c r="R129" s="74"/>
      <x:c r="S129" s="74"/>
      <x:c r="T129" s="74"/>
      <x:c r="U129" s="74"/>
      <x:c r="V129" s="74"/>
    </x:row>
    <x:row r="130">
      <x:c r="A130" s="74"/>
      <x:c r="B130" s="74"/>
      <x:c r="C130" s="74"/>
      <x:c r="D130" s="74"/>
      <x:c r="E130" s="74"/>
      <x:c r="F130" s="74"/>
      <x:c r="G130" s="74"/>
      <x:c r="H130" s="74"/>
      <x:c r="I130" s="74"/>
      <x:c r="J130" s="74"/>
      <x:c r="K130" s="74"/>
      <x:c r="L130" s="74"/>
      <x:c r="M130" s="74"/>
      <x:c r="N130" s="74"/>
      <x:c r="O130" s="74"/>
      <x:c r="P130" s="74"/>
      <x:c r="Q130" s="74"/>
      <x:c r="R130" s="74"/>
      <x:c r="S130" s="74"/>
      <x:c r="T130" s="74"/>
      <x:c r="U130" s="74"/>
      <x:c r="V130" s="74"/>
    </x:row>
    <x:row r="131">
      <x:c r="A131" s="74"/>
      <x:c r="B131" s="74"/>
      <x:c r="C131" s="74"/>
      <x:c r="D131" s="74"/>
      <x:c r="E131" s="74"/>
      <x:c r="F131" s="74"/>
      <x:c r="G131" s="74"/>
      <x:c r="H131" s="74"/>
      <x:c r="I131" s="74"/>
      <x:c r="J131" s="74"/>
      <x:c r="K131" s="74"/>
      <x:c r="L131" s="74"/>
      <x:c r="M131" s="74"/>
      <x:c r="N131" s="74"/>
      <x:c r="O131" s="74"/>
      <x:c r="P131" s="74"/>
      <x:c r="Q131" s="74"/>
      <x:c r="R131" s="74"/>
      <x:c r="S131" s="74"/>
      <x:c r="T131" s="74"/>
      <x:c r="U131" s="74"/>
      <x:c r="V131" s="74"/>
    </x:row>
    <x:row r="132">
      <x:c r="A132" s="74"/>
      <x:c r="B132" s="74"/>
      <x:c r="C132" s="74"/>
      <x:c r="D132" s="74"/>
      <x:c r="E132" s="74"/>
      <x:c r="F132" s="74"/>
      <x:c r="G132" s="74"/>
      <x:c r="H132" s="74"/>
      <x:c r="I132" s="74"/>
      <x:c r="J132" s="74"/>
      <x:c r="K132" s="74"/>
      <x:c r="L132" s="74"/>
      <x:c r="M132" s="74"/>
      <x:c r="N132" s="74"/>
      <x:c r="O132" s="74"/>
      <x:c r="P132" s="74"/>
      <x:c r="Q132" s="74"/>
      <x:c r="R132" s="74"/>
      <x:c r="S132" s="74"/>
      <x:c r="T132" s="74"/>
      <x:c r="U132" s="74"/>
      <x:c r="V132" s="74"/>
    </x:row>
    <x:row r="133">
      <x:c r="A133" s="74"/>
      <x:c r="B133" s="74"/>
      <x:c r="C133" s="74"/>
      <x:c r="D133" s="74"/>
      <x:c r="E133" s="74"/>
      <x:c r="F133" s="74"/>
      <x:c r="G133" s="74"/>
      <x:c r="H133" s="74"/>
      <x:c r="I133" s="74"/>
      <x:c r="J133" s="74"/>
      <x:c r="K133" s="74"/>
      <x:c r="L133" s="74"/>
      <x:c r="M133" s="74"/>
      <x:c r="N133" s="74"/>
      <x:c r="O133" s="74"/>
      <x:c r="P133" s="74"/>
      <x:c r="Q133" s="74"/>
      <x:c r="R133" s="74"/>
      <x:c r="S133" s="74"/>
      <x:c r="T133" s="74"/>
      <x:c r="U133" s="74"/>
      <x:c r="V133" s="74"/>
    </x:row>
    <x:row r="134">
      <x:c r="A134" s="74"/>
      <x:c r="B134" s="74"/>
      <x:c r="C134" s="74"/>
      <x:c r="D134" s="74"/>
      <x:c r="E134" s="74"/>
      <x:c r="F134" s="74"/>
      <x:c r="G134" s="74"/>
      <x:c r="H134" s="74"/>
      <x:c r="I134" s="74"/>
      <x:c r="J134" s="74"/>
      <x:c r="K134" s="74"/>
      <x:c r="L134" s="74"/>
      <x:c r="M134" s="74"/>
      <x:c r="N134" s="74"/>
      <x:c r="O134" s="74"/>
      <x:c r="P134" s="74"/>
      <x:c r="Q134" s="74"/>
      <x:c r="R134" s="74"/>
      <x:c r="S134" s="74"/>
      <x:c r="T134" s="74"/>
      <x:c r="U134" s="74"/>
      <x:c r="V134" s="74"/>
    </x:row>
    <x:row r="135">
      <x:c r="A135" s="74"/>
      <x:c r="B135" s="74"/>
      <x:c r="C135" s="74"/>
      <x:c r="D135" s="74"/>
      <x:c r="E135" s="74"/>
      <x:c r="F135" s="74"/>
      <x:c r="G135" s="74"/>
      <x:c r="H135" s="74"/>
      <x:c r="I135" s="74"/>
      <x:c r="J135" s="74"/>
      <x:c r="K135" s="74"/>
      <x:c r="L135" s="74"/>
      <x:c r="M135" s="74"/>
      <x:c r="N135" s="74"/>
      <x:c r="O135" s="74"/>
      <x:c r="P135" s="74"/>
      <x:c r="Q135" s="74"/>
      <x:c r="R135" s="74"/>
      <x:c r="S135" s="74"/>
      <x:c r="T135" s="74"/>
      <x:c r="U135" s="74"/>
      <x:c r="V135" s="74"/>
    </x:row>
    <x:row r="136">
      <x:c r="A136" s="74"/>
      <x:c r="B136" s="74"/>
      <x:c r="C136" s="74"/>
      <x:c r="D136" s="74"/>
      <x:c r="E136" s="74"/>
      <x:c r="F136" s="74"/>
      <x:c r="G136" s="74"/>
      <x:c r="H136" s="74"/>
      <x:c r="I136" s="74"/>
      <x:c r="J136" s="74"/>
      <x:c r="K136" s="74"/>
      <x:c r="L136" s="74"/>
      <x:c r="M136" s="74"/>
      <x:c r="N136" s="74"/>
      <x:c r="O136" s="74"/>
      <x:c r="P136" s="74"/>
      <x:c r="Q136" s="74"/>
      <x:c r="R136" s="74"/>
      <x:c r="S136" s="74"/>
      <x:c r="T136" s="74"/>
      <x:c r="U136" s="74"/>
      <x:c r="V136" s="74"/>
    </x:row>
    <x:row r="137">
      <x:c r="A137" s="74"/>
      <x:c r="B137" s="74"/>
      <x:c r="C137" s="74"/>
      <x:c r="D137" s="74"/>
      <x:c r="E137" s="74"/>
      <x:c r="F137" s="74"/>
      <x:c r="G137" s="74"/>
      <x:c r="H137" s="74"/>
      <x:c r="I137" s="74"/>
      <x:c r="J137" s="74"/>
      <x:c r="K137" s="74"/>
      <x:c r="L137" s="74"/>
      <x:c r="M137" s="74"/>
      <x:c r="N137" s="74"/>
      <x:c r="O137" s="74"/>
      <x:c r="P137" s="74"/>
      <x:c r="Q137" s="74"/>
      <x:c r="R137" s="74"/>
      <x:c r="S137" s="74"/>
      <x:c r="T137" s="74"/>
      <x:c r="U137" s="74"/>
      <x:c r="V137" s="74"/>
    </x:row>
    <x:row r="138">
      <x:c r="A138" s="74"/>
      <x:c r="B138" s="74"/>
      <x:c r="C138" s="74"/>
      <x:c r="D138" s="74"/>
      <x:c r="E138" s="74"/>
      <x:c r="F138" s="74"/>
      <x:c r="G138" s="74"/>
      <x:c r="H138" s="74"/>
      <x:c r="I138" s="74"/>
      <x:c r="J138" s="74"/>
      <x:c r="K138" s="74"/>
      <x:c r="L138" s="74"/>
      <x:c r="M138" s="74"/>
      <x:c r="N138" s="74"/>
      <x:c r="O138" s="74"/>
      <x:c r="P138" s="74"/>
      <x:c r="Q138" s="74"/>
      <x:c r="R138" s="74"/>
      <x:c r="S138" s="74"/>
      <x:c r="T138" s="74"/>
      <x:c r="U138" s="74"/>
      <x:c r="V138" s="74"/>
    </x:row>
    <x:row r="139">
      <x:c r="A139" s="74"/>
      <x:c r="B139" s="74"/>
      <x:c r="C139" s="74"/>
      <x:c r="D139" s="74"/>
      <x:c r="E139" s="74"/>
      <x:c r="F139" s="74"/>
      <x:c r="G139" s="74"/>
      <x:c r="H139" s="74"/>
      <x:c r="I139" s="74"/>
      <x:c r="J139" s="74"/>
      <x:c r="K139" s="74"/>
      <x:c r="L139" s="74"/>
      <x:c r="M139" s="74"/>
      <x:c r="N139" s="74"/>
      <x:c r="O139" s="74"/>
      <x:c r="P139" s="74"/>
      <x:c r="Q139" s="74"/>
      <x:c r="R139" s="74"/>
      <x:c r="S139" s="74"/>
      <x:c r="T139" s="74"/>
      <x:c r="U139" s="74"/>
      <x:c r="V139" s="74"/>
    </x:row>
    <x:row r="140">
      <x:c r="A140" s="74"/>
      <x:c r="B140" s="74"/>
      <x:c r="C140" s="74"/>
      <x:c r="D140" s="74"/>
      <x:c r="E140" s="74"/>
      <x:c r="F140" s="74"/>
      <x:c r="G140" s="74"/>
      <x:c r="H140" s="74"/>
      <x:c r="I140" s="74"/>
      <x:c r="J140" s="74"/>
      <x:c r="K140" s="74"/>
      <x:c r="L140" s="74"/>
      <x:c r="M140" s="74"/>
      <x:c r="N140" s="74"/>
      <x:c r="O140" s="74"/>
      <x:c r="P140" s="74"/>
      <x:c r="Q140" s="74"/>
      <x:c r="R140" s="74"/>
      <x:c r="S140" s="74"/>
      <x:c r="T140" s="74"/>
      <x:c r="U140" s="74"/>
      <x:c r="V140" s="74"/>
    </x:row>
    <x:row r="141">
      <x:c r="A141" s="74"/>
      <x:c r="B141" s="74"/>
      <x:c r="C141" s="74"/>
      <x:c r="D141" s="74"/>
      <x:c r="E141" s="74"/>
      <x:c r="F141" s="74"/>
      <x:c r="G141" s="74"/>
      <x:c r="H141" s="74"/>
      <x:c r="I141" s="74"/>
      <x:c r="J141" s="74"/>
      <x:c r="K141" s="74"/>
      <x:c r="L141" s="74"/>
      <x:c r="M141" s="74"/>
      <x:c r="N141" s="74"/>
      <x:c r="O141" s="74"/>
      <x:c r="P141" s="74"/>
      <x:c r="Q141" s="74"/>
      <x:c r="R141" s="74"/>
      <x:c r="S141" s="74"/>
      <x:c r="T141" s="74"/>
      <x:c r="U141" s="74"/>
      <x:c r="V141" s="74"/>
    </x:row>
    <x:row r="142">
      <x:c r="A142" s="74"/>
      <x:c r="B142" s="74"/>
      <x:c r="C142" s="74"/>
      <x:c r="D142" s="74"/>
      <x:c r="E142" s="74"/>
      <x:c r="F142" s="74"/>
      <x:c r="G142" s="74"/>
      <x:c r="H142" s="74"/>
      <x:c r="I142" s="74"/>
      <x:c r="J142" s="74"/>
      <x:c r="K142" s="74"/>
      <x:c r="L142" s="74"/>
      <x:c r="M142" s="74"/>
      <x:c r="N142" s="74"/>
      <x:c r="O142" s="74"/>
      <x:c r="P142" s="74"/>
      <x:c r="Q142" s="74"/>
      <x:c r="R142" s="74"/>
      <x:c r="S142" s="74"/>
      <x:c r="T142" s="74"/>
      <x:c r="U142" s="74"/>
      <x:c r="V142" s="74"/>
    </x:row>
    <x:row r="143">
      <x:c r="A143" s="74"/>
      <x:c r="B143" s="74"/>
      <x:c r="C143" s="74"/>
      <x:c r="D143" s="74"/>
      <x:c r="E143" s="74"/>
      <x:c r="F143" s="74"/>
      <x:c r="G143" s="74"/>
      <x:c r="H143" s="74"/>
      <x:c r="I143" s="74"/>
      <x:c r="J143" s="74"/>
      <x:c r="K143" s="74"/>
      <x:c r="L143" s="74"/>
      <x:c r="M143" s="74"/>
      <x:c r="N143" s="74"/>
      <x:c r="O143" s="74"/>
      <x:c r="P143" s="74"/>
      <x:c r="Q143" s="74"/>
      <x:c r="R143" s="74"/>
      <x:c r="S143" s="74"/>
      <x:c r="T143" s="74"/>
      <x:c r="U143" s="74"/>
      <x:c r="V143" s="74"/>
    </x:row>
    <x:row r="144">
      <x:c r="A144" s="74"/>
      <x:c r="B144" s="74"/>
      <x:c r="C144" s="74"/>
      <x:c r="D144" s="74"/>
      <x:c r="E144" s="74"/>
      <x:c r="F144" s="74"/>
      <x:c r="G144" s="74"/>
      <x:c r="H144" s="74"/>
      <x:c r="I144" s="74"/>
      <x:c r="J144" s="74"/>
      <x:c r="K144" s="74"/>
      <x:c r="L144" s="74"/>
      <x:c r="M144" s="74"/>
      <x:c r="N144" s="74"/>
      <x:c r="O144" s="74"/>
      <x:c r="P144" s="74"/>
      <x:c r="Q144" s="74"/>
      <x:c r="R144" s="74"/>
      <x:c r="S144" s="74"/>
      <x:c r="T144" s="74"/>
      <x:c r="U144" s="74"/>
      <x:c r="V144" s="74"/>
    </x:row>
    <x:row r="145">
      <x:c r="A145" s="74"/>
      <x:c r="B145" s="74"/>
      <x:c r="C145" s="74"/>
      <x:c r="D145" s="74"/>
      <x:c r="E145" s="74"/>
      <x:c r="F145" s="74"/>
      <x:c r="G145" s="74"/>
      <x:c r="H145" s="74"/>
      <x:c r="I145" s="74"/>
      <x:c r="J145" s="74"/>
      <x:c r="K145" s="74"/>
      <x:c r="L145" s="74"/>
      <x:c r="M145" s="74"/>
      <x:c r="N145" s="74"/>
      <x:c r="O145" s="74"/>
      <x:c r="P145" s="74"/>
      <x:c r="Q145" s="74"/>
      <x:c r="R145" s="74"/>
      <x:c r="S145" s="74"/>
      <x:c r="T145" s="74"/>
      <x:c r="U145" s="74"/>
      <x:c r="V145" s="74"/>
    </x:row>
    <x:row r="146">
      <x:c r="A146" s="74"/>
      <x:c r="B146" s="74"/>
      <x:c r="C146" s="74"/>
      <x:c r="D146" s="74"/>
      <x:c r="E146" s="74"/>
      <x:c r="F146" s="74"/>
      <x:c r="G146" s="74"/>
      <x:c r="H146" s="74"/>
      <x:c r="I146" s="74"/>
      <x:c r="J146" s="74"/>
      <x:c r="K146" s="74"/>
      <x:c r="L146" s="74"/>
      <x:c r="M146" s="74"/>
      <x:c r="N146" s="74"/>
      <x:c r="O146" s="74"/>
      <x:c r="P146" s="74"/>
      <x:c r="Q146" s="74"/>
      <x:c r="R146" s="74"/>
      <x:c r="S146" s="74"/>
      <x:c r="T146" s="74"/>
      <x:c r="U146" s="74"/>
      <x:c r="V146" s="74"/>
    </x:row>
    <x:row r="147">
      <x:c r="A147" s="74"/>
      <x:c r="B147" s="74"/>
      <x:c r="C147" s="74"/>
      <x:c r="D147" s="74"/>
      <x:c r="E147" s="74"/>
      <x:c r="F147" s="74"/>
      <x:c r="G147" s="74"/>
      <x:c r="H147" s="74"/>
      <x:c r="I147" s="74"/>
      <x:c r="J147" s="74"/>
      <x:c r="K147" s="74"/>
      <x:c r="L147" s="74"/>
      <x:c r="M147" s="74"/>
      <x:c r="N147" s="74"/>
      <x:c r="O147" s="74"/>
      <x:c r="P147" s="74"/>
      <x:c r="Q147" s="74"/>
      <x:c r="R147" s="74"/>
      <x:c r="S147" s="74"/>
      <x:c r="T147" s="74"/>
      <x:c r="U147" s="74"/>
      <x:c r="V147" s="74"/>
    </x:row>
    <x:row r="148">
      <x:c r="A148" s="74"/>
      <x:c r="B148" s="74"/>
      <x:c r="C148" s="74"/>
      <x:c r="D148" s="74"/>
      <x:c r="E148" s="74"/>
      <x:c r="F148" s="74"/>
      <x:c r="G148" s="74"/>
      <x:c r="H148" s="74"/>
      <x:c r="I148" s="74"/>
      <x:c r="J148" s="74"/>
      <x:c r="K148" s="74"/>
      <x:c r="L148" s="74"/>
      <x:c r="M148" s="74"/>
      <x:c r="N148" s="74"/>
      <x:c r="O148" s="74"/>
      <x:c r="P148" s="74"/>
      <x:c r="Q148" s="74"/>
      <x:c r="R148" s="74"/>
      <x:c r="S148" s="74"/>
      <x:c r="T148" s="74"/>
      <x:c r="U148" s="74"/>
      <x:c r="V148" s="74"/>
    </x:row>
    <x:row r="149">
      <x:c r="A149" s="74"/>
      <x:c r="B149" s="74"/>
      <x:c r="C149" s="74"/>
      <x:c r="D149" s="74"/>
      <x:c r="E149" s="74"/>
      <x:c r="F149" s="74"/>
      <x:c r="G149" s="74"/>
      <x:c r="H149" s="74"/>
      <x:c r="I149" s="74"/>
      <x:c r="J149" s="74"/>
      <x:c r="K149" s="74"/>
      <x:c r="L149" s="74"/>
      <x:c r="M149" s="74"/>
      <x:c r="N149" s="74"/>
      <x:c r="O149" s="74"/>
      <x:c r="P149" s="74"/>
      <x:c r="Q149" s="74"/>
      <x:c r="R149" s="74"/>
      <x:c r="S149" s="74"/>
      <x:c r="T149" s="74"/>
      <x:c r="U149" s="74"/>
      <x:c r="V149" s="74"/>
    </x:row>
    <x:row r="150">
      <x:c r="A150" s="74"/>
      <x:c r="B150" s="74"/>
      <x:c r="C150" s="74"/>
      <x:c r="D150" s="74"/>
      <x:c r="E150" s="74"/>
      <x:c r="F150" s="74"/>
      <x:c r="G150" s="74"/>
      <x:c r="H150" s="74"/>
      <x:c r="I150" s="74"/>
      <x:c r="J150" s="74"/>
      <x:c r="K150" s="74"/>
      <x:c r="L150" s="74"/>
      <x:c r="M150" s="74"/>
      <x:c r="N150" s="74"/>
      <x:c r="O150" s="74"/>
      <x:c r="P150" s="74"/>
      <x:c r="Q150" s="74"/>
      <x:c r="R150" s="74"/>
      <x:c r="S150" s="74"/>
      <x:c r="T150" s="74"/>
      <x:c r="U150" s="74"/>
      <x:c r="V150" s="74"/>
    </x:row>
    <x:row r="151">
      <x:c r="A151" s="74"/>
      <x:c r="B151" s="74"/>
      <x:c r="C151" s="74"/>
      <x:c r="D151" s="74"/>
      <x:c r="E151" s="74"/>
      <x:c r="F151" s="74"/>
      <x:c r="G151" s="74"/>
      <x:c r="H151" s="74"/>
      <x:c r="I151" s="74"/>
      <x:c r="J151" s="74"/>
      <x:c r="K151" s="74"/>
      <x:c r="L151" s="74"/>
      <x:c r="M151" s="74"/>
      <x:c r="N151" s="74"/>
      <x:c r="O151" s="74"/>
      <x:c r="P151" s="74"/>
      <x:c r="Q151" s="74"/>
      <x:c r="R151" s="74"/>
      <x:c r="S151" s="74"/>
      <x:c r="T151" s="74"/>
      <x:c r="U151" s="74"/>
      <x:c r="V151" s="74"/>
    </x:row>
    <x:row r="152">
      <x:c r="A152" s="74"/>
      <x:c r="B152" s="74"/>
      <x:c r="C152" s="74"/>
      <x:c r="D152" s="74"/>
      <x:c r="E152" s="74"/>
      <x:c r="F152" s="74"/>
      <x:c r="G152" s="74"/>
      <x:c r="H152" s="74"/>
      <x:c r="I152" s="74"/>
      <x:c r="J152" s="74"/>
      <x:c r="K152" s="74"/>
      <x:c r="L152" s="74"/>
      <x:c r="M152" s="74"/>
      <x:c r="N152" s="74"/>
      <x:c r="O152" s="74"/>
      <x:c r="P152" s="74"/>
      <x:c r="Q152" s="74"/>
      <x:c r="R152" s="74"/>
      <x:c r="S152" s="74"/>
      <x:c r="T152" s="74"/>
      <x:c r="U152" s="74"/>
      <x:c r="V152" s="74"/>
    </x:row>
    <x:row r="153">
      <x:c r="A153" s="74"/>
      <x:c r="B153" s="74"/>
      <x:c r="C153" s="74"/>
      <x:c r="D153" s="74"/>
      <x:c r="E153" s="74"/>
      <x:c r="F153" s="74"/>
      <x:c r="G153" s="74"/>
      <x:c r="H153" s="74"/>
      <x:c r="I153" s="74"/>
      <x:c r="J153" s="74"/>
      <x:c r="K153" s="74"/>
      <x:c r="L153" s="74"/>
      <x:c r="M153" s="74"/>
      <x:c r="N153" s="74"/>
      <x:c r="O153" s="74"/>
      <x:c r="P153" s="74"/>
      <x:c r="Q153" s="74"/>
      <x:c r="R153" s="74"/>
      <x:c r="S153" s="74"/>
      <x:c r="T153" s="74"/>
      <x:c r="U153" s="74"/>
      <x:c r="V153" s="74"/>
    </x:row>
    <x:row r="154">
      <x:c r="A154" s="74"/>
      <x:c r="B154" s="74"/>
      <x:c r="C154" s="74"/>
      <x:c r="D154" s="74"/>
      <x:c r="E154" s="74"/>
      <x:c r="F154" s="74"/>
      <x:c r="G154" s="74"/>
      <x:c r="H154" s="74"/>
      <x:c r="I154" s="74"/>
      <x:c r="J154" s="74"/>
      <x:c r="K154" s="74"/>
      <x:c r="L154" s="74"/>
      <x:c r="M154" s="74"/>
      <x:c r="N154" s="74"/>
      <x:c r="O154" s="74"/>
      <x:c r="P154" s="74"/>
      <x:c r="Q154" s="74"/>
      <x:c r="R154" s="74"/>
      <x:c r="S154" s="74"/>
      <x:c r="T154" s="74"/>
      <x:c r="U154" s="74"/>
      <x:c r="V154" s="74"/>
    </x:row>
    <x:row r="155">
      <x:c r="A155" s="74"/>
      <x:c r="B155" s="74"/>
      <x:c r="C155" s="74"/>
      <x:c r="D155" s="74"/>
      <x:c r="E155" s="74"/>
      <x:c r="F155" s="74"/>
      <x:c r="G155" s="74"/>
      <x:c r="H155" s="74"/>
      <x:c r="I155" s="74"/>
      <x:c r="J155" s="74"/>
      <x:c r="K155" s="74"/>
      <x:c r="L155" s="74"/>
      <x:c r="M155" s="74"/>
      <x:c r="N155" s="74"/>
      <x:c r="O155" s="74"/>
      <x:c r="P155" s="74"/>
      <x:c r="Q155" s="74"/>
      <x:c r="R155" s="74"/>
      <x:c r="S155" s="74"/>
      <x:c r="T155" s="74"/>
      <x:c r="U155" s="74"/>
      <x:c r="V155" s="74"/>
    </x:row>
    <x:row r="156">
      <x:c r="A156" s="74"/>
      <x:c r="B156" s="74"/>
      <x:c r="C156" s="74"/>
      <x:c r="D156" s="74"/>
      <x:c r="E156" s="74"/>
      <x:c r="F156" s="74"/>
      <x:c r="G156" s="74"/>
      <x:c r="H156" s="74"/>
      <x:c r="I156" s="74"/>
      <x:c r="J156" s="74"/>
      <x:c r="K156" s="74"/>
      <x:c r="L156" s="74"/>
      <x:c r="M156" s="74"/>
      <x:c r="N156" s="74"/>
      <x:c r="O156" s="74"/>
      <x:c r="P156" s="74"/>
      <x:c r="Q156" s="74"/>
      <x:c r="R156" s="74"/>
      <x:c r="S156" s="74"/>
      <x:c r="T156" s="74"/>
      <x:c r="U156" s="74"/>
      <x:c r="V156" s="74"/>
    </x:row>
    <x:row r="157">
      <x:c r="A157" s="74"/>
      <x:c r="B157" s="74"/>
      <x:c r="C157" s="74"/>
      <x:c r="D157" s="74"/>
      <x:c r="E157" s="74"/>
      <x:c r="F157" s="74"/>
      <x:c r="G157" s="74"/>
      <x:c r="H157" s="74"/>
      <x:c r="I157" s="74"/>
      <x:c r="J157" s="74"/>
      <x:c r="K157" s="74"/>
      <x:c r="L157" s="74"/>
      <x:c r="M157" s="74"/>
      <x:c r="N157" s="74"/>
      <x:c r="O157" s="74"/>
      <x:c r="P157" s="74"/>
      <x:c r="Q157" s="74"/>
      <x:c r="R157" s="74"/>
      <x:c r="S157" s="74"/>
      <x:c r="T157" s="74"/>
      <x:c r="U157" s="74"/>
      <x:c r="V157" s="74"/>
    </x:row>
    <x:row r="158">
      <x:c r="A158" s="74"/>
      <x:c r="B158" s="74"/>
      <x:c r="C158" s="74"/>
      <x:c r="D158" s="74"/>
      <x:c r="E158" s="74"/>
      <x:c r="F158" s="74"/>
      <x:c r="G158" s="74"/>
      <x:c r="H158" s="74"/>
      <x:c r="I158" s="74"/>
      <x:c r="J158" s="74"/>
      <x:c r="K158" s="74"/>
      <x:c r="L158" s="74"/>
      <x:c r="M158" s="74"/>
      <x:c r="N158" s="74"/>
      <x:c r="O158" s="74"/>
      <x:c r="P158" s="74"/>
      <x:c r="Q158" s="74"/>
      <x:c r="R158" s="74"/>
      <x:c r="S158" s="74"/>
      <x:c r="T158" s="74"/>
      <x:c r="U158" s="74"/>
      <x:c r="V158" s="74"/>
    </x:row>
    <x:row r="159">
      <x:c r="A159" s="74"/>
      <x:c r="B159" s="74"/>
      <x:c r="C159" s="74"/>
      <x:c r="D159" s="74"/>
      <x:c r="E159" s="74"/>
      <x:c r="F159" s="74"/>
      <x:c r="G159" s="74"/>
      <x:c r="H159" s="74"/>
      <x:c r="I159" s="74"/>
      <x:c r="J159" s="74"/>
      <x:c r="K159" s="74"/>
      <x:c r="L159" s="74"/>
      <x:c r="M159" s="74"/>
      <x:c r="N159" s="74"/>
      <x:c r="O159" s="74"/>
      <x:c r="P159" s="74"/>
      <x:c r="Q159" s="74"/>
      <x:c r="R159" s="74"/>
      <x:c r="S159" s="74"/>
      <x:c r="T159" s="74"/>
      <x:c r="U159" s="74"/>
      <x:c r="V159" s="74"/>
    </x:row>
    <x:row r="160">
      <x:c r="A160" s="74"/>
      <x:c r="B160" s="74"/>
      <x:c r="C160" s="74"/>
      <x:c r="D160" s="74"/>
      <x:c r="E160" s="74"/>
      <x:c r="F160" s="74"/>
      <x:c r="G160" s="74"/>
      <x:c r="H160" s="74"/>
      <x:c r="I160" s="74"/>
      <x:c r="J160" s="74"/>
      <x:c r="K160" s="74"/>
      <x:c r="L160" s="74"/>
      <x:c r="M160" s="74"/>
      <x:c r="N160" s="74"/>
      <x:c r="O160" s="74"/>
      <x:c r="P160" s="74"/>
      <x:c r="Q160" s="74"/>
      <x:c r="R160" s="74"/>
      <x:c r="S160" s="74"/>
      <x:c r="T160" s="74"/>
      <x:c r="U160" s="74"/>
      <x:c r="V160" s="74"/>
    </x:row>
    <x:row r="161">
      <x:c r="A161" s="74"/>
      <x:c r="B161" s="74"/>
      <x:c r="C161" s="74"/>
      <x:c r="D161" s="74"/>
      <x:c r="E161" s="74"/>
      <x:c r="F161" s="74"/>
      <x:c r="G161" s="74"/>
      <x:c r="H161" s="74"/>
      <x:c r="I161" s="74"/>
      <x:c r="J161" s="74"/>
      <x:c r="K161" s="74"/>
      <x:c r="L161" s="74"/>
      <x:c r="M161" s="74"/>
      <x:c r="N161" s="74"/>
      <x:c r="O161" s="74"/>
      <x:c r="P161" s="74"/>
      <x:c r="Q161" s="74"/>
      <x:c r="R161" s="74"/>
      <x:c r="S161" s="74"/>
      <x:c r="T161" s="74"/>
      <x:c r="U161" s="74"/>
      <x:c r="V161" s="74"/>
    </x:row>
    <x:row r="162">
      <x:c r="A162" s="74"/>
      <x:c r="B162" s="74"/>
      <x:c r="C162" s="74"/>
      <x:c r="D162" s="74"/>
      <x:c r="E162" s="74"/>
      <x:c r="F162" s="74"/>
      <x:c r="G162" s="74"/>
      <x:c r="H162" s="74"/>
      <x:c r="I162" s="74"/>
      <x:c r="J162" s="74"/>
      <x:c r="K162" s="74"/>
      <x:c r="L162" s="74"/>
      <x:c r="M162" s="74"/>
      <x:c r="N162" s="74"/>
      <x:c r="O162" s="74"/>
      <x:c r="P162" s="74"/>
      <x:c r="Q162" s="74"/>
      <x:c r="R162" s="74"/>
      <x:c r="S162" s="74"/>
      <x:c r="T162" s="74"/>
      <x:c r="U162" s="74"/>
      <x:c r="V162" s="74"/>
    </x:row>
    <x:row r="163">
      <x:c r="A163" s="74"/>
      <x:c r="B163" s="74"/>
      <x:c r="C163" s="74"/>
      <x:c r="D163" s="74"/>
      <x:c r="E163" s="74"/>
      <x:c r="F163" s="74"/>
      <x:c r="G163" s="74"/>
      <x:c r="H163" s="74"/>
      <x:c r="I163" s="74"/>
      <x:c r="J163" s="74"/>
      <x:c r="K163" s="74"/>
      <x:c r="L163" s="74"/>
      <x:c r="M163" s="74"/>
      <x:c r="N163" s="74"/>
      <x:c r="O163" s="74"/>
      <x:c r="P163" s="74"/>
      <x:c r="Q163" s="74"/>
      <x:c r="R163" s="74"/>
      <x:c r="S163" s="74"/>
      <x:c r="T163" s="74"/>
      <x:c r="U163" s="74"/>
      <x:c r="V163" s="74"/>
    </x:row>
    <x:row r="164">
      <x:c r="A164" s="74"/>
      <x:c r="B164" s="74"/>
      <x:c r="C164" s="74"/>
      <x:c r="D164" s="74"/>
      <x:c r="E164" s="74"/>
      <x:c r="F164" s="74"/>
      <x:c r="G164" s="74"/>
      <x:c r="H164" s="74"/>
      <x:c r="I164" s="74"/>
      <x:c r="J164" s="74"/>
      <x:c r="K164" s="74"/>
      <x:c r="L164" s="74"/>
      <x:c r="M164" s="74"/>
      <x:c r="N164" s="74"/>
      <x:c r="O164" s="74"/>
      <x:c r="P164" s="74"/>
      <x:c r="Q164" s="74"/>
      <x:c r="R164" s="74"/>
      <x:c r="S164" s="74"/>
      <x:c r="T164" s="74"/>
      <x:c r="U164" s="74"/>
      <x:c r="V164" s="74"/>
    </x:row>
    <x:row r="165">
      <x:c r="A165" s="74"/>
      <x:c r="B165" s="74"/>
      <x:c r="C165" s="74"/>
      <x:c r="D165" s="74"/>
      <x:c r="E165" s="74"/>
      <x:c r="F165" s="74"/>
      <x:c r="G165" s="74"/>
      <x:c r="H165" s="74"/>
      <x:c r="I165" s="74"/>
      <x:c r="J165" s="74"/>
      <x:c r="K165" s="74"/>
      <x:c r="L165" s="74"/>
      <x:c r="M165" s="74"/>
      <x:c r="N165" s="74"/>
      <x:c r="O165" s="74"/>
      <x:c r="P165" s="74"/>
      <x:c r="Q165" s="74"/>
      <x:c r="R165" s="74"/>
      <x:c r="S165" s="74"/>
      <x:c r="T165" s="74"/>
      <x:c r="U165" s="74"/>
      <x:c r="V165" s="74"/>
    </x:row>
    <x:row r="166">
      <x:c r="A166" s="74"/>
      <x:c r="B166" s="74"/>
      <x:c r="C166" s="74"/>
      <x:c r="D166" s="74"/>
      <x:c r="E166" s="74"/>
      <x:c r="F166" s="74"/>
      <x:c r="G166" s="74"/>
      <x:c r="H166" s="74"/>
      <x:c r="I166" s="74"/>
      <x:c r="J166" s="74"/>
      <x:c r="K166" s="74"/>
      <x:c r="L166" s="74"/>
      <x:c r="M166" s="74"/>
      <x:c r="N166" s="74"/>
      <x:c r="O166" s="74"/>
      <x:c r="P166" s="74"/>
      <x:c r="Q166" s="74"/>
      <x:c r="R166" s="74"/>
      <x:c r="S166" s="74"/>
      <x:c r="T166" s="74"/>
      <x:c r="U166" s="74"/>
      <x:c r="V166" s="74"/>
    </x:row>
    <x:row r="167">
      <x:c r="A167" s="74"/>
      <x:c r="B167" s="74"/>
      <x:c r="C167" s="74"/>
      <x:c r="D167" s="74"/>
      <x:c r="E167" s="74"/>
      <x:c r="F167" s="74"/>
      <x:c r="G167" s="74"/>
      <x:c r="H167" s="74"/>
      <x:c r="I167" s="74"/>
      <x:c r="J167" s="74"/>
      <x:c r="K167" s="74"/>
      <x:c r="L167" s="74"/>
      <x:c r="M167" s="74"/>
      <x:c r="N167" s="74"/>
      <x:c r="O167" s="74"/>
      <x:c r="P167" s="74"/>
      <x:c r="Q167" s="74"/>
      <x:c r="R167" s="74"/>
      <x:c r="S167" s="74"/>
      <x:c r="T167" s="74"/>
      <x:c r="U167" s="74"/>
      <x:c r="V167" s="74"/>
    </x:row>
    <x:row r="168">
      <x:c r="A168" s="74"/>
      <x:c r="B168" s="74"/>
      <x:c r="C168" s="74"/>
      <x:c r="D168" s="74"/>
      <x:c r="E168" s="74"/>
      <x:c r="F168" s="74"/>
      <x:c r="G168" s="74"/>
      <x:c r="H168" s="74"/>
      <x:c r="I168" s="74"/>
      <x:c r="J168" s="74"/>
      <x:c r="K168" s="74"/>
      <x:c r="L168" s="74"/>
      <x:c r="M168" s="74"/>
      <x:c r="N168" s="74"/>
      <x:c r="O168" s="74"/>
      <x:c r="P168" s="74"/>
      <x:c r="Q168" s="74"/>
      <x:c r="R168" s="74"/>
      <x:c r="S168" s="74"/>
      <x:c r="T168" s="74"/>
      <x:c r="U168" s="74"/>
      <x:c r="V168" s="74"/>
    </x:row>
    <x:row r="169">
      <x:c r="A169" s="74"/>
      <x:c r="B169" s="74"/>
      <x:c r="C169" s="74"/>
      <x:c r="D169" s="74"/>
      <x:c r="E169" s="74"/>
      <x:c r="F169" s="74"/>
      <x:c r="G169" s="74"/>
      <x:c r="H169" s="74"/>
      <x:c r="I169" s="74"/>
      <x:c r="J169" s="74"/>
      <x:c r="K169" s="74"/>
      <x:c r="L169" s="74"/>
      <x:c r="M169" s="74"/>
      <x:c r="N169" s="74"/>
      <x:c r="O169" s="74"/>
      <x:c r="P169" s="74"/>
      <x:c r="Q169" s="74"/>
      <x:c r="R169" s="74"/>
      <x:c r="S169" s="74"/>
      <x:c r="T169" s="74"/>
      <x:c r="U169" s="74"/>
      <x:c r="V169" s="74"/>
    </x:row>
    <x:row r="170">
      <x:c r="A170" s="74"/>
      <x:c r="B170" s="74"/>
      <x:c r="C170" s="74"/>
      <x:c r="D170" s="74"/>
      <x:c r="E170" s="74"/>
      <x:c r="F170" s="74"/>
      <x:c r="G170" s="74"/>
      <x:c r="H170" s="74"/>
      <x:c r="I170" s="74"/>
      <x:c r="J170" s="74"/>
      <x:c r="K170" s="74"/>
      <x:c r="L170" s="74"/>
      <x:c r="M170" s="74"/>
      <x:c r="N170" s="74"/>
      <x:c r="O170" s="74"/>
      <x:c r="P170" s="74"/>
      <x:c r="Q170" s="74"/>
      <x:c r="R170" s="74"/>
      <x:c r="S170" s="74"/>
      <x:c r="T170" s="74"/>
      <x:c r="U170" s="74"/>
      <x:c r="V170" s="74"/>
    </x:row>
    <x:row r="171">
      <x:c r="A171" s="74"/>
      <x:c r="B171" s="74"/>
      <x:c r="C171" s="74"/>
      <x:c r="D171" s="74"/>
      <x:c r="E171" s="74"/>
      <x:c r="F171" s="74"/>
      <x:c r="G171" s="74"/>
      <x:c r="H171" s="74"/>
      <x:c r="I171" s="74"/>
      <x:c r="J171" s="74"/>
      <x:c r="K171" s="74"/>
      <x:c r="L171" s="74"/>
      <x:c r="M171" s="74"/>
      <x:c r="N171" s="74"/>
      <x:c r="O171" s="74"/>
      <x:c r="P171" s="74"/>
      <x:c r="Q171" s="74"/>
      <x:c r="R171" s="74"/>
      <x:c r="S171" s="74"/>
      <x:c r="T171" s="74"/>
      <x:c r="U171" s="74"/>
      <x:c r="V171" s="74"/>
    </x:row>
    <x:row r="172">
      <x:c r="A172" s="74"/>
      <x:c r="B172" s="74"/>
      <x:c r="C172" s="74"/>
      <x:c r="D172" s="74"/>
      <x:c r="E172" s="74"/>
      <x:c r="F172" s="74"/>
      <x:c r="G172" s="74"/>
      <x:c r="H172" s="74"/>
      <x:c r="I172" s="74"/>
      <x:c r="J172" s="74"/>
      <x:c r="K172" s="74"/>
      <x:c r="L172" s="74"/>
      <x:c r="M172" s="74"/>
      <x:c r="N172" s="74"/>
      <x:c r="O172" s="74"/>
      <x:c r="P172" s="74"/>
      <x:c r="Q172" s="74"/>
      <x:c r="R172" s="74"/>
      <x:c r="S172" s="74"/>
      <x:c r="T172" s="74"/>
      <x:c r="U172" s="74"/>
      <x:c r="V172" s="74"/>
    </x:row>
    <x:row r="173">
      <x:c r="A173" s="74"/>
      <x:c r="B173" s="74"/>
      <x:c r="C173" s="74"/>
      <x:c r="D173" s="74"/>
      <x:c r="E173" s="74"/>
      <x:c r="F173" s="74"/>
      <x:c r="G173" s="74"/>
      <x:c r="H173" s="74"/>
      <x:c r="I173" s="74"/>
      <x:c r="J173" s="74"/>
      <x:c r="K173" s="74"/>
      <x:c r="L173" s="74"/>
      <x:c r="M173" s="74"/>
      <x:c r="N173" s="74"/>
      <x:c r="O173" s="74"/>
      <x:c r="P173" s="74"/>
      <x:c r="Q173" s="74"/>
      <x:c r="R173" s="74"/>
      <x:c r="S173" s="74"/>
      <x:c r="T173" s="74"/>
      <x:c r="U173" s="74"/>
      <x:c r="V173" s="74"/>
    </x:row>
    <x:row r="174">
      <x:c r="A174" s="74"/>
      <x:c r="B174" s="74"/>
      <x:c r="C174" s="74"/>
      <x:c r="D174" s="74"/>
      <x:c r="E174" s="74"/>
      <x:c r="F174" s="74"/>
      <x:c r="G174" s="74"/>
      <x:c r="H174" s="74"/>
      <x:c r="I174" s="74"/>
      <x:c r="J174" s="74"/>
      <x:c r="K174" s="74"/>
      <x:c r="L174" s="74"/>
      <x:c r="M174" s="74"/>
      <x:c r="N174" s="74"/>
      <x:c r="O174" s="74"/>
      <x:c r="P174" s="74"/>
      <x:c r="Q174" s="74"/>
      <x:c r="R174" s="74"/>
      <x:c r="S174" s="74"/>
      <x:c r="T174" s="74"/>
      <x:c r="U174" s="74"/>
      <x:c r="V174" s="74"/>
    </x:row>
    <x:row r="175">
      <x:c r="A175" s="74"/>
      <x:c r="B175" s="74"/>
      <x:c r="C175" s="74"/>
      <x:c r="D175" s="74"/>
      <x:c r="E175" s="74"/>
      <x:c r="F175" s="74"/>
      <x:c r="G175" s="74"/>
      <x:c r="H175" s="74"/>
      <x:c r="I175" s="74"/>
      <x:c r="J175" s="74"/>
      <x:c r="K175" s="74"/>
      <x:c r="L175" s="74"/>
      <x:c r="M175" s="74"/>
      <x:c r="N175" s="74"/>
      <x:c r="O175" s="74"/>
      <x:c r="P175" s="74"/>
      <x:c r="Q175" s="74"/>
      <x:c r="R175" s="74"/>
      <x:c r="S175" s="74"/>
      <x:c r="T175" s="74"/>
      <x:c r="U175" s="74"/>
      <x:c r="V175" s="74"/>
    </x:row>
    <x:row r="176">
      <x:c r="A176" s="74"/>
      <x:c r="B176" s="74"/>
      <x:c r="C176" s="74"/>
      <x:c r="D176" s="74"/>
      <x:c r="E176" s="74"/>
      <x:c r="F176" s="74"/>
      <x:c r="G176" s="74"/>
      <x:c r="H176" s="74"/>
      <x:c r="I176" s="74"/>
      <x:c r="J176" s="74"/>
      <x:c r="K176" s="74"/>
      <x:c r="L176" s="74"/>
      <x:c r="M176" s="74"/>
      <x:c r="N176" s="74"/>
      <x:c r="O176" s="74"/>
      <x:c r="P176" s="74"/>
      <x:c r="Q176" s="74"/>
      <x:c r="R176" s="74"/>
      <x:c r="S176" s="74"/>
      <x:c r="T176" s="74"/>
      <x:c r="U176" s="74"/>
      <x:c r="V176" s="74"/>
    </x:row>
    <x:row r="177">
      <x:c r="A177" s="74"/>
      <x:c r="B177" s="74"/>
      <x:c r="C177" s="74"/>
      <x:c r="D177" s="74"/>
      <x:c r="E177" s="74"/>
      <x:c r="F177" s="74"/>
      <x:c r="G177" s="74"/>
      <x:c r="H177" s="74"/>
      <x:c r="I177" s="74"/>
      <x:c r="J177" s="74"/>
      <x:c r="K177" s="74"/>
      <x:c r="L177" s="74"/>
      <x:c r="M177" s="74"/>
      <x:c r="N177" s="74"/>
      <x:c r="O177" s="74"/>
      <x:c r="P177" s="74"/>
      <x:c r="Q177" s="74"/>
      <x:c r="R177" s="74"/>
      <x:c r="S177" s="74"/>
      <x:c r="T177" s="74"/>
      <x:c r="U177" s="74"/>
      <x:c r="V177" s="74"/>
    </x:row>
    <x:row r="178">
      <x:c r="A178" s="74"/>
      <x:c r="B178" s="74"/>
      <x:c r="C178" s="74"/>
      <x:c r="D178" s="74"/>
      <x:c r="E178" s="74"/>
      <x:c r="F178" s="74"/>
      <x:c r="G178" s="74"/>
      <x:c r="H178" s="74"/>
      <x:c r="I178" s="74"/>
      <x:c r="J178" s="74"/>
      <x:c r="K178" s="74"/>
      <x:c r="L178" s="74"/>
      <x:c r="M178" s="74"/>
      <x:c r="N178" s="74"/>
      <x:c r="O178" s="74"/>
      <x:c r="P178" s="74"/>
      <x:c r="Q178" s="74"/>
      <x:c r="R178" s="74"/>
      <x:c r="S178" s="74"/>
      <x:c r="T178" s="74"/>
      <x:c r="U178" s="74"/>
      <x:c r="V178" s="74"/>
    </x:row>
    <x:row r="179">
      <x:c r="A179" s="74"/>
      <x:c r="B179" s="74"/>
      <x:c r="C179" s="74"/>
      <x:c r="D179" s="74"/>
      <x:c r="E179" s="74"/>
      <x:c r="F179" s="74"/>
      <x:c r="G179" s="74"/>
      <x:c r="H179" s="74"/>
      <x:c r="I179" s="74"/>
      <x:c r="J179" s="74"/>
      <x:c r="K179" s="74"/>
      <x:c r="L179" s="74"/>
      <x:c r="M179" s="74"/>
      <x:c r="N179" s="74"/>
      <x:c r="O179" s="74"/>
      <x:c r="P179" s="74"/>
      <x:c r="Q179" s="74"/>
      <x:c r="R179" s="74"/>
      <x:c r="S179" s="74"/>
      <x:c r="T179" s="74"/>
      <x:c r="U179" s="74"/>
      <x:c r="V179" s="74"/>
    </x:row>
    <x:row r="180">
      <x:c r="A180" s="74"/>
      <x:c r="B180" s="74"/>
      <x:c r="C180" s="74"/>
      <x:c r="D180" s="74"/>
      <x:c r="E180" s="74"/>
      <x:c r="F180" s="74"/>
      <x:c r="G180" s="74"/>
      <x:c r="H180" s="74"/>
      <x:c r="I180" s="74"/>
      <x:c r="J180" s="74"/>
      <x:c r="K180" s="74"/>
      <x:c r="L180" s="74"/>
      <x:c r="M180" s="74"/>
      <x:c r="N180" s="74"/>
      <x:c r="O180" s="74"/>
      <x:c r="P180" s="74"/>
      <x:c r="Q180" s="74"/>
      <x:c r="R180" s="74"/>
      <x:c r="S180" s="74"/>
      <x:c r="T180" s="74"/>
      <x:c r="U180" s="74"/>
      <x:c r="V180" s="74"/>
    </x:row>
    <x:row r="181">
      <x:c r="A181" s="74"/>
      <x:c r="B181" s="74"/>
      <x:c r="C181" s="74"/>
      <x:c r="D181" s="74"/>
      <x:c r="E181" s="74"/>
      <x:c r="F181" s="74"/>
      <x:c r="G181" s="74"/>
      <x:c r="H181" s="74"/>
      <x:c r="I181" s="74"/>
      <x:c r="J181" s="74"/>
      <x:c r="K181" s="74"/>
      <x:c r="L181" s="74"/>
      <x:c r="M181" s="74"/>
      <x:c r="N181" s="74"/>
      <x:c r="O181" s="74"/>
      <x:c r="P181" s="74"/>
      <x:c r="Q181" s="74"/>
      <x:c r="R181" s="74"/>
      <x:c r="S181" s="74"/>
      <x:c r="T181" s="74"/>
      <x:c r="U181" s="74"/>
      <x:c r="V181" s="74"/>
    </x:row>
    <x:row r="182">
      <x:c r="A182" s="74"/>
      <x:c r="B182" s="74"/>
      <x:c r="C182" s="74"/>
      <x:c r="D182" s="74"/>
      <x:c r="E182" s="74"/>
      <x:c r="F182" s="74"/>
      <x:c r="G182" s="74"/>
      <x:c r="H182" s="74"/>
      <x:c r="I182" s="74"/>
      <x:c r="J182" s="74"/>
      <x:c r="K182" s="74"/>
      <x:c r="L182" s="74"/>
      <x:c r="M182" s="74"/>
      <x:c r="N182" s="74"/>
      <x:c r="O182" s="74"/>
      <x:c r="P182" s="74"/>
      <x:c r="Q182" s="74"/>
      <x:c r="R182" s="74"/>
      <x:c r="S182" s="74"/>
      <x:c r="T182" s="74"/>
      <x:c r="U182" s="74"/>
      <x:c r="V182" s="74"/>
    </x:row>
    <x:row r="183">
      <x:c r="A183" s="74"/>
      <x:c r="B183" s="74"/>
      <x:c r="C183" s="74"/>
      <x:c r="D183" s="74"/>
      <x:c r="E183" s="74"/>
      <x:c r="F183" s="74"/>
      <x:c r="G183" s="74"/>
      <x:c r="H183" s="74"/>
      <x:c r="I183" s="74"/>
      <x:c r="J183" s="74"/>
      <x:c r="K183" s="74"/>
      <x:c r="L183" s="74"/>
      <x:c r="M183" s="74"/>
      <x:c r="N183" s="74"/>
      <x:c r="O183" s="74"/>
      <x:c r="P183" s="74"/>
      <x:c r="Q183" s="74"/>
      <x:c r="R183" s="74"/>
      <x:c r="S183" s="74"/>
      <x:c r="T183" s="74"/>
      <x:c r="U183" s="74"/>
      <x:c r="V183" s="74"/>
    </x:row>
    <x:row r="184">
      <x:c r="A184" s="74"/>
      <x:c r="B184" s="74"/>
      <x:c r="C184" s="74"/>
      <x:c r="D184" s="74"/>
      <x:c r="E184" s="74"/>
      <x:c r="F184" s="74"/>
      <x:c r="G184" s="74"/>
      <x:c r="H184" s="74"/>
      <x:c r="I184" s="74"/>
      <x:c r="J184" s="74"/>
      <x:c r="K184" s="74"/>
      <x:c r="L184" s="74"/>
      <x:c r="M184" s="74"/>
      <x:c r="N184" s="74"/>
      <x:c r="O184" s="74"/>
      <x:c r="P184" s="74"/>
      <x:c r="Q184" s="74"/>
      <x:c r="R184" s="74"/>
      <x:c r="S184" s="74"/>
      <x:c r="T184" s="74"/>
      <x:c r="U184" s="74"/>
      <x:c r="V184" s="74"/>
    </x:row>
    <x:row r="185">
      <x:c r="A185" s="74"/>
      <x:c r="B185" s="74"/>
      <x:c r="C185" s="74"/>
      <x:c r="D185" s="74"/>
      <x:c r="E185" s="74"/>
      <x:c r="F185" s="74"/>
      <x:c r="G185" s="74"/>
      <x:c r="H185" s="74"/>
      <x:c r="I185" s="74"/>
      <x:c r="J185" s="74"/>
      <x:c r="K185" s="74"/>
      <x:c r="L185" s="74"/>
      <x:c r="M185" s="74"/>
      <x:c r="N185" s="74"/>
      <x:c r="O185" s="74"/>
      <x:c r="P185" s="74"/>
      <x:c r="Q185" s="74"/>
      <x:c r="R185" s="74"/>
      <x:c r="S185" s="74"/>
      <x:c r="T185" s="74"/>
      <x:c r="U185" s="74"/>
      <x:c r="V185" s="74"/>
    </x:row>
    <x:row r="186">
      <x:c r="A186" s="74"/>
      <x:c r="B186" s="74"/>
      <x:c r="C186" s="74"/>
      <x:c r="D186" s="74"/>
      <x:c r="E186" s="74"/>
      <x:c r="F186" s="74"/>
      <x:c r="G186" s="74"/>
      <x:c r="H186" s="74"/>
      <x:c r="I186" s="74"/>
      <x:c r="J186" s="74"/>
      <x:c r="K186" s="74"/>
      <x:c r="L186" s="74"/>
      <x:c r="M186" s="74"/>
      <x:c r="N186" s="74"/>
      <x:c r="O186" s="74"/>
      <x:c r="P186" s="74"/>
      <x:c r="Q186" s="74"/>
      <x:c r="R186" s="74"/>
      <x:c r="S186" s="74"/>
      <x:c r="T186" s="74"/>
      <x:c r="U186" s="74"/>
      <x:c r="V186" s="74"/>
    </x:row>
    <x:row r="187">
      <x:c r="A187" s="74"/>
      <x:c r="B187" s="74"/>
      <x:c r="C187" s="74"/>
      <x:c r="D187" s="74"/>
      <x:c r="E187" s="74"/>
      <x:c r="F187" s="74"/>
      <x:c r="G187" s="74"/>
      <x:c r="H187" s="74"/>
      <x:c r="I187" s="74"/>
      <x:c r="J187" s="74"/>
      <x:c r="K187" s="74"/>
      <x:c r="L187" s="74"/>
      <x:c r="M187" s="74"/>
      <x:c r="N187" s="74"/>
      <x:c r="O187" s="74"/>
      <x:c r="P187" s="74"/>
      <x:c r="Q187" s="74"/>
      <x:c r="R187" s="74"/>
      <x:c r="S187" s="74"/>
      <x:c r="T187" s="74"/>
      <x:c r="U187" s="74"/>
      <x:c r="V187" s="74"/>
    </x:row>
    <x:row r="188">
      <x:c r="A188" s="74"/>
      <x:c r="B188" s="74"/>
      <x:c r="C188" s="74"/>
      <x:c r="D188" s="74"/>
      <x:c r="E188" s="74"/>
      <x:c r="F188" s="74"/>
      <x:c r="G188" s="74"/>
      <x:c r="H188" s="74"/>
      <x:c r="I188" s="74"/>
      <x:c r="J188" s="74"/>
      <x:c r="K188" s="74"/>
      <x:c r="L188" s="74"/>
      <x:c r="M188" s="74"/>
      <x:c r="N188" s="74"/>
      <x:c r="O188" s="74"/>
      <x:c r="P188" s="74"/>
      <x:c r="Q188" s="74"/>
      <x:c r="R188" s="74"/>
      <x:c r="S188" s="74"/>
      <x:c r="T188" s="74"/>
      <x:c r="U188" s="74"/>
      <x:c r="V188" s="74"/>
    </x:row>
    <x:row r="189">
      <x:c r="A189" s="74"/>
      <x:c r="B189" s="74"/>
      <x:c r="C189" s="74"/>
      <x:c r="D189" s="74"/>
      <x:c r="E189" s="74"/>
      <x:c r="F189" s="74"/>
      <x:c r="G189" s="74"/>
      <x:c r="H189" s="74"/>
      <x:c r="I189" s="74"/>
      <x:c r="J189" s="74"/>
      <x:c r="K189" s="74"/>
      <x:c r="L189" s="74"/>
      <x:c r="M189" s="74"/>
      <x:c r="N189" s="74"/>
      <x:c r="O189" s="74"/>
      <x:c r="P189" s="74"/>
      <x:c r="Q189" s="74"/>
      <x:c r="R189" s="74"/>
      <x:c r="S189" s="74"/>
      <x:c r="T189" s="74"/>
      <x:c r="U189" s="74"/>
      <x:c r="V189" s="74"/>
    </x:row>
    <x:row r="190">
      <x:c r="A190" s="74"/>
      <x:c r="B190" s="74"/>
      <x:c r="C190" s="74"/>
      <x:c r="D190" s="74"/>
      <x:c r="E190" s="74"/>
      <x:c r="F190" s="74"/>
      <x:c r="G190" s="74"/>
      <x:c r="H190" s="74"/>
      <x:c r="I190" s="74"/>
      <x:c r="J190" s="74"/>
      <x:c r="K190" s="74"/>
      <x:c r="L190" s="74"/>
      <x:c r="M190" s="74"/>
      <x:c r="N190" s="74"/>
      <x:c r="O190" s="74"/>
      <x:c r="P190" s="74"/>
      <x:c r="Q190" s="74"/>
      <x:c r="R190" s="74"/>
      <x:c r="S190" s="74"/>
      <x:c r="T190" s="74"/>
      <x:c r="U190" s="74"/>
      <x:c r="V190" s="74"/>
    </x:row>
    <x:row r="191">
      <x:c r="A191" s="74"/>
      <x:c r="B191" s="74"/>
      <x:c r="C191" s="74"/>
      <x:c r="D191" s="74"/>
      <x:c r="E191" s="74"/>
      <x:c r="F191" s="74"/>
      <x:c r="G191" s="74"/>
      <x:c r="H191" s="74"/>
      <x:c r="I191" s="74"/>
      <x:c r="J191" s="74"/>
      <x:c r="K191" s="74"/>
      <x:c r="L191" s="74"/>
      <x:c r="M191" s="74"/>
      <x:c r="N191" s="74"/>
      <x:c r="O191" s="74"/>
      <x:c r="P191" s="74"/>
      <x:c r="Q191" s="74"/>
      <x:c r="R191" s="74"/>
      <x:c r="S191" s="74"/>
      <x:c r="T191" s="74"/>
      <x:c r="U191" s="74"/>
      <x:c r="V191" s="74"/>
    </x:row>
    <x:row r="192">
      <x:c r="A192" s="74"/>
      <x:c r="B192" s="74"/>
      <x:c r="C192" s="74"/>
      <x:c r="D192" s="74"/>
      <x:c r="E192" s="74"/>
      <x:c r="F192" s="74"/>
      <x:c r="G192" s="74"/>
      <x:c r="H192" s="74"/>
      <x:c r="I192" s="74"/>
      <x:c r="J192" s="74"/>
      <x:c r="K192" s="74"/>
      <x:c r="L192" s="74"/>
      <x:c r="M192" s="74"/>
      <x:c r="N192" s="74"/>
      <x:c r="O192" s="74"/>
      <x:c r="P192" s="74"/>
      <x:c r="Q192" s="74"/>
      <x:c r="R192" s="74"/>
      <x:c r="S192" s="74"/>
      <x:c r="T192" s="74"/>
      <x:c r="U192" s="74"/>
      <x:c r="V192" s="74"/>
    </x:row>
    <x:row r="193">
      <x:c r="A193" s="74"/>
      <x:c r="B193" s="74"/>
      <x:c r="C193" s="74"/>
      <x:c r="D193" s="74"/>
      <x:c r="E193" s="74"/>
      <x:c r="F193" s="74"/>
      <x:c r="G193" s="74"/>
      <x:c r="H193" s="74"/>
      <x:c r="I193" s="74"/>
      <x:c r="J193" s="74"/>
      <x:c r="K193" s="74"/>
      <x:c r="L193" s="74"/>
      <x:c r="M193" s="74"/>
      <x:c r="N193" s="74"/>
      <x:c r="O193" s="74"/>
      <x:c r="P193" s="74"/>
      <x:c r="Q193" s="74"/>
      <x:c r="R193" s="74"/>
      <x:c r="S193" s="74"/>
      <x:c r="T193" s="74"/>
      <x:c r="U193" s="74"/>
      <x:c r="V193" s="74"/>
    </x:row>
    <x:row r="194">
      <x:c r="A194" s="74"/>
      <x:c r="B194" s="74"/>
      <x:c r="C194" s="74"/>
      <x:c r="D194" s="74"/>
      <x:c r="E194" s="74"/>
      <x:c r="F194" s="74"/>
      <x:c r="G194" s="74"/>
      <x:c r="H194" s="74"/>
      <x:c r="I194" s="74"/>
      <x:c r="J194" s="74"/>
      <x:c r="K194" s="74"/>
      <x:c r="L194" s="74"/>
      <x:c r="M194" s="74"/>
      <x:c r="N194" s="74"/>
      <x:c r="O194" s="74"/>
      <x:c r="P194" s="74"/>
      <x:c r="Q194" s="74"/>
      <x:c r="R194" s="74"/>
      <x:c r="S194" s="74"/>
      <x:c r="T194" s="74"/>
      <x:c r="U194" s="74"/>
      <x:c r="V194" s="74"/>
    </x:row>
    <x:row r="195">
      <x:c r="A195" s="74"/>
      <x:c r="B195" s="74"/>
      <x:c r="C195" s="74"/>
      <x:c r="D195" s="74"/>
      <x:c r="E195" s="74"/>
      <x:c r="F195" s="74"/>
      <x:c r="G195" s="74"/>
      <x:c r="H195" s="74"/>
      <x:c r="I195" s="74"/>
      <x:c r="J195" s="74"/>
      <x:c r="K195" s="74"/>
      <x:c r="L195" s="74"/>
      <x:c r="M195" s="74"/>
      <x:c r="N195" s="74"/>
      <x:c r="O195" s="74"/>
      <x:c r="P195" s="74"/>
      <x:c r="Q195" s="74"/>
      <x:c r="R195" s="74"/>
      <x:c r="S195" s="74"/>
      <x:c r="T195" s="74"/>
      <x:c r="U195" s="74"/>
      <x:c r="V195" s="74"/>
    </x:row>
    <x:row r="196">
      <x:c r="A196" s="74"/>
      <x:c r="B196" s="74"/>
      <x:c r="C196" s="74"/>
      <x:c r="D196" s="74"/>
      <x:c r="E196" s="74"/>
      <x:c r="F196" s="74"/>
      <x:c r="G196" s="74"/>
      <x:c r="H196" s="74"/>
      <x:c r="I196" s="74"/>
      <x:c r="J196" s="74"/>
      <x:c r="K196" s="74"/>
      <x:c r="L196" s="74"/>
      <x:c r="M196" s="74"/>
      <x:c r="N196" s="74"/>
      <x:c r="O196" s="74"/>
      <x:c r="P196" s="74"/>
      <x:c r="Q196" s="74"/>
      <x:c r="R196" s="74"/>
      <x:c r="S196" s="74"/>
      <x:c r="T196" s="74"/>
      <x:c r="U196" s="74"/>
      <x:c r="V196" s="74"/>
    </x:row>
    <x:row r="197">
      <x:c r="A197" s="74"/>
      <x:c r="B197" s="74"/>
      <x:c r="C197" s="74"/>
      <x:c r="D197" s="74"/>
      <x:c r="E197" s="74"/>
      <x:c r="F197" s="74"/>
      <x:c r="G197" s="74"/>
      <x:c r="H197" s="74"/>
      <x:c r="I197" s="74"/>
      <x:c r="J197" s="74"/>
      <x:c r="K197" s="74"/>
      <x:c r="L197" s="74"/>
      <x:c r="M197" s="74"/>
      <x:c r="N197" s="74"/>
      <x:c r="O197" s="74"/>
      <x:c r="P197" s="74"/>
      <x:c r="Q197" s="74"/>
      <x:c r="R197" s="74"/>
      <x:c r="S197" s="74"/>
      <x:c r="T197" s="74"/>
      <x:c r="U197" s="74"/>
      <x:c r="V197" s="74"/>
    </x:row>
    <x:row r="198">
      <x:c r="A198" s="74"/>
      <x:c r="B198" s="74"/>
      <x:c r="C198" s="74"/>
      <x:c r="D198" s="74"/>
      <x:c r="E198" s="74"/>
      <x:c r="F198" s="74"/>
      <x:c r="G198" s="74"/>
      <x:c r="H198" s="74"/>
      <x:c r="I198" s="74"/>
      <x:c r="J198" s="74"/>
      <x:c r="K198" s="74"/>
      <x:c r="L198" s="74"/>
      <x:c r="M198" s="74"/>
      <x:c r="N198" s="74"/>
      <x:c r="O198" s="74"/>
      <x:c r="P198" s="74"/>
      <x:c r="Q198" s="74"/>
      <x:c r="R198" s="74"/>
      <x:c r="S198" s="74"/>
      <x:c r="T198" s="74"/>
      <x:c r="U198" s="74"/>
      <x:c r="V198" s="74"/>
    </x:row>
    <x:row r="199">
      <x:c r="A199" s="74"/>
      <x:c r="B199" s="74"/>
      <x:c r="C199" s="74"/>
      <x:c r="D199" s="74"/>
      <x:c r="E199" s="74"/>
      <x:c r="F199" s="74"/>
      <x:c r="G199" s="74"/>
      <x:c r="H199" s="74"/>
      <x:c r="I199" s="74"/>
      <x:c r="J199" s="74"/>
      <x:c r="K199" s="74"/>
      <x:c r="L199" s="74"/>
      <x:c r="M199" s="74"/>
      <x:c r="N199" s="74"/>
      <x:c r="O199" s="74"/>
      <x:c r="P199" s="74"/>
      <x:c r="Q199" s="74"/>
      <x:c r="R199" s="74"/>
      <x:c r="S199" s="74"/>
      <x:c r="T199" s="74"/>
      <x:c r="U199" s="74"/>
      <x:c r="V199" s="74"/>
    </x:row>
    <x:row r="200">
      <x:c r="A200" s="74"/>
      <x:c r="B200" s="74"/>
      <x:c r="C200" s="74"/>
      <x:c r="D200" s="74"/>
      <x:c r="E200" s="74"/>
      <x:c r="F200" s="74"/>
      <x:c r="G200" s="74"/>
      <x:c r="H200" s="74"/>
      <x:c r="I200" s="74"/>
      <x:c r="J200" s="74"/>
      <x:c r="K200" s="74"/>
      <x:c r="L200" s="74"/>
      <x:c r="M200" s="74"/>
      <x:c r="N200" s="74"/>
      <x:c r="O200" s="74"/>
      <x:c r="P200" s="74"/>
      <x:c r="Q200" s="74"/>
      <x:c r="R200" s="74"/>
      <x:c r="S200" s="74"/>
      <x:c r="T200" s="74"/>
      <x:c r="U200" s="74"/>
      <x:c r="V200" s="74"/>
    </x:row>
  </x:sheetData>
  <x:pageMargins left="0.7" right="0.7" top="0.75" bottom="0.75" header="0.3" footer="0.3"/>
  <x:tableParts count="1">
    <x:tablePart xmlns:r="http://schemas.openxmlformats.org/officeDocument/2006/relationships" r:id="R70b627d3eb1449b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90" hidden="0" customWidth="1"/>
    <x:col min="4" max="4" width="14" hidden="0" customWidth="1"/>
  </x:cols>
  <x:sheetData>
    <x:row r="1">
      <x:c r="A1" s="95" t="str">
        <x:v>Change ID</x:v>
      </x:c>
      <x:c r="B1" s="95" t="str">
        <x:v>대상</x:v>
      </x:c>
      <x:c r="C1" s="95" t="str">
        <x:v>수정 내용</x:v>
      </x:c>
      <x:c r="D1" s="95" t="str">
        <x:v>상태</x:v>
      </x:c>
      <x:c r="E1" s="74"/>
      <x:c r="F1" s="74"/>
      <x:c r="G1" s="74"/>
      <x:c r="H1" s="74"/>
      <x:c r="I1" s="74"/>
      <x:c r="J1" s="74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</x:row>
    <x:row r="2" ht="38" customHeight="1">
      <x:c r="A2" s="79" t="str">
        <x:v>v2-01</x:v>
      </x:c>
      <x:c r="B2" s="79" t="str">
        <x:v>Summary KPI</x:v>
      </x:c>
      <x:c r="C2" s="79" t="str">
        <x:v>잘못된 열 참조 제거; 표준화된 priority/status 열을 exact COUNTIF로 집계</x:v>
      </x:c>
      <x:c r="D2" s="103" t="str">
        <x:v>완료</x:v>
      </x:c>
      <x:c r="E2" s="74"/>
      <x:c r="F2" s="74"/>
      <x:c r="G2" s="74"/>
      <x:c r="H2" s="74"/>
      <x:c r="I2" s="74"/>
      <x:c r="J2" s="74"/>
      <x:c r="K2" s="74"/>
      <x:c r="L2" s="74"/>
      <x:c r="M2" s="74"/>
      <x:c r="N2" s="74"/>
      <x:c r="O2" s="74"/>
      <x:c r="P2" s="74"/>
      <x:c r="Q2" s="74"/>
      <x:c r="R2" s="74"/>
      <x:c r="S2" s="74"/>
      <x:c r="T2" s="74"/>
      <x:c r="U2" s="74"/>
      <x:c r="V2" s="74"/>
    </x:row>
    <x:row r="3" ht="38" customHeight="1">
      <x:c r="A3" s="79" t="str">
        <x:v>v2-02</x:v>
      </x:c>
      <x:c r="B3" s="79" t="str">
        <x:v>Claim structure</x:v>
      </x:c>
      <x:c r="C3" s="79" t="str">
        <x:v>Source ID, 적용 범위, 불확실성, 증거 클래스, 세부 계보, Decision ID 추가</x:v>
      </x:c>
      <x:c r="D3" s="103" t="str">
        <x:v>완료</x:v>
      </x:c>
      <x:c r="E3" s="74"/>
      <x:c r="F3" s="74"/>
      <x:c r="G3" s="74"/>
      <x:c r="H3" s="74"/>
      <x:c r="I3" s="74"/>
      <x:c r="J3" s="74"/>
      <x:c r="K3" s="74"/>
      <x:c r="L3" s="74"/>
      <x:c r="M3" s="74"/>
      <x:c r="N3" s="74"/>
      <x:c r="O3" s="74"/>
      <x:c r="P3" s="74"/>
      <x:c r="Q3" s="74"/>
      <x:c r="R3" s="74"/>
      <x:c r="S3" s="74"/>
      <x:c r="T3" s="74"/>
      <x:c r="U3" s="74"/>
      <x:c r="V3" s="74"/>
    </x:row>
    <x:row r="4" ht="38" customHeight="1">
      <x:c r="A4" s="79" t="str">
        <x:v>v2-03</x:v>
      </x:c>
      <x:c r="B4" s="79" t="str">
        <x:v>C12/C16</x:v>
      </x:c>
      <x:c r="C4" s="79" t="str">
        <x:v>C6−C4R matched identification과 C6−C6X 보조 타당화 분리</x:v>
      </x:c>
      <x:c r="D4" s="103" t="str">
        <x:v>완료</x:v>
      </x:c>
      <x:c r="E4" s="74"/>
      <x:c r="F4" s="74"/>
      <x:c r="G4" s="74"/>
      <x:c r="H4" s="74"/>
      <x:c r="I4" s="74"/>
      <x:c r="J4" s="74"/>
      <x:c r="K4" s="74"/>
      <x:c r="L4" s="74"/>
      <x:c r="M4" s="74"/>
      <x:c r="N4" s="74"/>
      <x:c r="O4" s="74"/>
      <x:c r="P4" s="74"/>
      <x:c r="Q4" s="74"/>
      <x:c r="R4" s="74"/>
      <x:c r="S4" s="74"/>
      <x:c r="T4" s="74"/>
      <x:c r="U4" s="74"/>
      <x:c r="V4" s="74"/>
    </x:row>
    <x:row r="5" ht="38" customHeight="1">
      <x:c r="A5" s="79" t="str">
        <x:v>v2-04</x:v>
      </x:c>
      <x:c r="B5" s="79" t="str">
        <x:v>C13</x:v>
      </x:c>
      <x:c r="C5" s="79" t="str">
        <x:v>paired path 확인 전 analysis-contract Claim으로 강도 하향</x:v>
      </x:c>
      <x:c r="D5" s="103" t="str">
        <x:v>완료</x:v>
      </x:c>
      <x:c r="E5" s="74"/>
      <x:c r="F5" s="74"/>
      <x:c r="G5" s="74"/>
      <x:c r="H5" s="74"/>
      <x:c r="I5" s="74"/>
      <x:c r="J5" s="74"/>
      <x:c r="K5" s="74"/>
      <x:c r="L5" s="74"/>
      <x:c r="M5" s="74"/>
      <x:c r="N5" s="74"/>
      <x:c r="O5" s="74"/>
      <x:c r="P5" s="74"/>
      <x:c r="Q5" s="74"/>
      <x:c r="R5" s="74"/>
      <x:c r="S5" s="74"/>
      <x:c r="T5" s="74"/>
      <x:c r="U5" s="74"/>
      <x:c r="V5" s="74"/>
    </x:row>
    <x:row r="6" ht="38" customHeight="1">
      <x:c r="A6" s="79" t="str">
        <x:v>v2-05</x:v>
      </x:c>
      <x:c r="B6" s="79" t="str">
        <x:v>C24/C28</x:v>
      </x:c>
      <x:c r="C6" s="79" t="str">
        <x:v>QC 적격성 관문과 배포 정책 시스템 승인결론 분리</x:v>
      </x:c>
      <x:c r="D6" s="103" t="str">
        <x:v>완료</x:v>
      </x:c>
      <x:c r="E6" s="74"/>
      <x:c r="F6" s="74"/>
      <x:c r="G6" s="74"/>
      <x:c r="H6" s="74"/>
      <x:c r="I6" s="74"/>
      <x:c r="J6" s="74"/>
      <x:c r="K6" s="74"/>
      <x:c r="L6" s="74"/>
      <x:c r="M6" s="74"/>
      <x:c r="N6" s="74"/>
      <x:c r="O6" s="74"/>
      <x:c r="P6" s="74"/>
      <x:c r="Q6" s="74"/>
      <x:c r="R6" s="74"/>
      <x:c r="S6" s="74"/>
      <x:c r="T6" s="74"/>
      <x:c r="U6" s="74"/>
      <x:c r="V6" s="74"/>
    </x:row>
    <x:row r="7" ht="38" customHeight="1">
      <x:c r="A7" s="79" t="str">
        <x:v>v2-06</x:v>
      </x:c>
      <x:c r="B7" s="79" t="str">
        <x:v>C25</x:v>
      </x:c>
      <x:c r="C7" s="79" t="str">
        <x:v>관계적 참조가치 Claim 신설; E3 재산출 요구</x:v>
      </x:c>
      <x:c r="D7" s="103" t="str">
        <x:v>완료</x:v>
      </x:c>
      <x:c r="E7" s="74"/>
      <x:c r="F7" s="74"/>
      <x:c r="G7" s="74"/>
      <x:c r="H7" s="74"/>
      <x:c r="I7" s="74"/>
      <x:c r="J7" s="74"/>
      <x:c r="K7" s="74"/>
      <x:c r="L7" s="74"/>
      <x:c r="M7" s="74"/>
      <x:c r="N7" s="74"/>
      <x:c r="O7" s="74"/>
      <x:c r="P7" s="74"/>
      <x:c r="Q7" s="74"/>
      <x:c r="R7" s="74"/>
      <x:c r="S7" s="74"/>
      <x:c r="T7" s="74"/>
      <x:c r="U7" s="74"/>
      <x:c r="V7" s="74"/>
    </x:row>
    <x:row r="8" ht="38" customHeight="1">
      <x:c r="A8" s="79" t="str">
        <x:v>v2-07</x:v>
      </x:c>
      <x:c r="B8" s="79" t="str">
        <x:v>C26</x:v>
      </x:c>
      <x:c r="C8" s="79" t="str">
        <x:v>H1과 H2 분리; H2 canonical output 요구</x:v>
      </x:c>
      <x:c r="D8" s="103" t="str">
        <x:v>완료</x:v>
      </x:c>
      <x:c r="E8" s="74"/>
      <x:c r="F8" s="74"/>
      <x:c r="G8" s="74"/>
      <x:c r="H8" s="74"/>
      <x:c r="I8" s="74"/>
      <x:c r="J8" s="74"/>
      <x:c r="K8" s="74"/>
      <x:c r="L8" s="74"/>
      <x:c r="M8" s="74"/>
      <x:c r="N8" s="74"/>
      <x:c r="O8" s="74"/>
      <x:c r="P8" s="74"/>
      <x:c r="Q8" s="74"/>
      <x:c r="R8" s="74"/>
      <x:c r="S8" s="74"/>
      <x:c r="T8" s="74"/>
      <x:c r="U8" s="74"/>
      <x:c r="V8" s="74"/>
    </x:row>
    <x:row r="9" ht="38" customHeight="1">
      <x:c r="A9" s="79" t="str">
        <x:v>v2-08</x:v>
      </x:c>
      <x:c r="B9" s="79" t="str">
        <x:v>C04/C27</x:v>
      </x:c>
      <x:c r="C9" s="79" t="str">
        <x:v>정적·동적 평가해상도 분리; E3 동적 재산출 요구</x:v>
      </x:c>
      <x:c r="D9" s="103" t="str">
        <x:v>완료</x:v>
      </x:c>
      <x:c r="E9" s="74"/>
      <x:c r="F9" s="74"/>
      <x:c r="G9" s="74"/>
      <x:c r="H9" s="74"/>
      <x:c r="I9" s="74"/>
      <x:c r="J9" s="74"/>
      <x:c r="K9" s="74"/>
      <x:c r="L9" s="74"/>
      <x:c r="M9" s="74"/>
      <x:c r="N9" s="74"/>
      <x:c r="O9" s="74"/>
      <x:c r="P9" s="74"/>
      <x:c r="Q9" s="74"/>
      <x:c r="R9" s="74"/>
      <x:c r="S9" s="74"/>
      <x:c r="T9" s="74"/>
      <x:c r="U9" s="74"/>
      <x:c r="V9" s="74"/>
    </x:row>
    <x:row r="10" ht="38" customHeight="1">
      <x:c r="A10" s="79" t="str">
        <x:v>v2-09</x:v>
      </x:c>
      <x:c r="B10" s="79" t="str">
        <x:v>E1/N5M</x:v>
      </x:c>
      <x:c r="C10" s="79" t="str">
        <x:v>옵션 (a) superseded first-observation 결정을 Decision D01로 기록</x:v>
      </x:c>
      <x:c r="D10" s="103" t="str">
        <x:v>완료</x:v>
      </x:c>
      <x:c r="E10" s="74"/>
      <x:c r="F10" s="74"/>
      <x:c r="G10" s="74"/>
      <x:c r="H10" s="74"/>
      <x:c r="I10" s="74"/>
      <x:c r="J10" s="74"/>
      <x:c r="K10" s="74"/>
      <x:c r="L10" s="74"/>
      <x:c r="M10" s="74"/>
      <x:c r="N10" s="74"/>
      <x:c r="O10" s="74"/>
      <x:c r="P10" s="74"/>
      <x:c r="Q10" s="74"/>
      <x:c r="R10" s="74"/>
      <x:c r="S10" s="74"/>
      <x:c r="T10" s="74"/>
      <x:c r="U10" s="74"/>
      <x:c r="V10" s="74"/>
    </x:row>
    <x:row r="11" ht="38" customHeight="1">
      <x:c r="A11" s="79" t="str">
        <x:v>v2-10</x:v>
      </x:c>
      <x:c r="B11" s="79" t="str">
        <x:v>P50 provenance</x:v>
      </x:c>
      <x:c r="C11" s="79" t="str">
        <x:v>checkpoint–P50–prompt numeric vector verifier를 완결조건으로 추가</x:v>
      </x:c>
      <x:c r="D11" s="103" t="str">
        <x:v>완료</x:v>
      </x:c>
      <x:c r="E11" s="74"/>
      <x:c r="F11" s="74"/>
      <x:c r="G11" s="74"/>
      <x:c r="H11" s="74"/>
      <x:c r="I11" s="74"/>
      <x:c r="J11" s="74"/>
      <x:c r="K11" s="74"/>
      <x:c r="L11" s="74"/>
      <x:c r="M11" s="74"/>
      <x:c r="N11" s="74"/>
      <x:c r="O11" s="74"/>
      <x:c r="P11" s="74"/>
      <x:c r="Q11" s="74"/>
      <x:c r="R11" s="74"/>
      <x:c r="S11" s="74"/>
      <x:c r="T11" s="74"/>
      <x:c r="U11" s="74"/>
      <x:c r="V11" s="74"/>
    </x:row>
    <x:row r="12" ht="38" customHeight="1">
      <x:c r="A12" s="79" t="str">
        <x:v>v2-11</x:v>
      </x:c>
      <x:c r="B12" s="79" t="str">
        <x:v>Priority</x:v>
      </x:c>
      <x:c r="C12" s="79" t="str">
        <x:v>P0–P3 네 단계로 정규화</x:v>
      </x:c>
      <x:c r="D12" s="103" t="str">
        <x:v>완료</x:v>
      </x:c>
      <x:c r="E12" s="74"/>
      <x:c r="F12" s="74"/>
      <x:c r="G12" s="74"/>
      <x:c r="H12" s="74"/>
      <x:c r="I12" s="74"/>
      <x:c r="J12" s="74"/>
      <x:c r="K12" s="74"/>
      <x:c r="L12" s="74"/>
      <x:c r="M12" s="74"/>
      <x:c r="N12" s="74"/>
      <x:c r="O12" s="74"/>
      <x:c r="P12" s="74"/>
      <x:c r="Q12" s="74"/>
      <x:c r="R12" s="74"/>
      <x:c r="S12" s="74"/>
      <x:c r="T12" s="74"/>
      <x:c r="U12" s="74"/>
      <x:c r="V12" s="74"/>
    </x:row>
    <x:row r="13" ht="38" customHeight="1">
      <x:c r="A13" s="79" t="str">
        <x:v>v2-12</x:v>
      </x:c>
      <x:c r="B13" s="79" t="str">
        <x:v>Evidence class</x:v>
      </x:c>
      <x:c r="C13" s="79" t="str">
        <x:v>표준 증거 클래스와 세부 계보를 분리</x:v>
      </x:c>
      <x:c r="D13" s="103" t="str">
        <x:v>완료</x:v>
      </x:c>
      <x:c r="E13" s="74"/>
      <x:c r="F13" s="74"/>
      <x:c r="G13" s="74"/>
      <x:c r="H13" s="74"/>
      <x:c r="I13" s="74"/>
      <x:c r="J13" s="74"/>
      <x:c r="K13" s="74"/>
      <x:c r="L13" s="74"/>
      <x:c r="M13" s="74"/>
      <x:c r="N13" s="74"/>
      <x:c r="O13" s="74"/>
      <x:c r="P13" s="74"/>
      <x:c r="Q13" s="74"/>
      <x:c r="R13" s="74"/>
      <x:c r="S13" s="74"/>
      <x:c r="T13" s="74"/>
      <x:c r="U13" s="74"/>
      <x:c r="V13" s="74"/>
    </x:row>
    <x:row r="14" ht="38" customHeight="1">
      <x:c r="A14" s="79" t="str">
        <x:v>v2-13</x:v>
      </x:c>
      <x:c r="B14" s="79" t="str">
        <x:v>Sources</x:v>
      </x:c>
      <x:c r="C14" s="79" t="str">
        <x:v>Canonical root 선언 및 Source ID foreign-key 구조 도입</x:v>
      </x:c>
      <x:c r="D14" s="103" t="str">
        <x:v>완료</x:v>
      </x:c>
      <x:c r="E14" s="74"/>
      <x:c r="F14" s="74"/>
      <x:c r="G14" s="74"/>
      <x:c r="H14" s="74"/>
      <x:c r="I14" s="74"/>
      <x:c r="J14" s="74"/>
      <x:c r="K14" s="74"/>
      <x:c r="L14" s="74"/>
      <x:c r="M14" s="74"/>
      <x:c r="N14" s="74"/>
      <x:c r="O14" s="74"/>
      <x:c r="P14" s="74"/>
      <x:c r="Q14" s="74"/>
      <x:c r="R14" s="74"/>
      <x:c r="S14" s="74"/>
      <x:c r="T14" s="74"/>
      <x:c r="U14" s="74"/>
      <x:c r="V14" s="74"/>
    </x:row>
    <x:row r="15" ht="38" customHeight="1">
      <x:c r="A15" s="79" t="str">
        <x:v>v2-14</x:v>
      </x:c>
      <x:c r="B15" s="79" t="str">
        <x:v>Terminology</x:v>
      </x:c>
      <x:c r="C15" s="79" t="str">
        <x:v>‘배치 정책 시스템’을 ‘배포 정책 시스템’으로 교체</x:v>
      </x:c>
      <x:c r="D15" s="103" t="str">
        <x:v>완료</x:v>
      </x:c>
      <x:c r="E15" s="74"/>
      <x:c r="F15" s="74"/>
      <x:c r="G15" s="74"/>
      <x:c r="H15" s="74"/>
      <x:c r="I15" s="74"/>
      <x:c r="J15" s="74"/>
      <x:c r="K15" s="74"/>
      <x:c r="L15" s="74"/>
      <x:c r="M15" s="74"/>
      <x:c r="N15" s="74"/>
      <x:c r="O15" s="74"/>
      <x:c r="P15" s="74"/>
      <x:c r="Q15" s="74"/>
      <x:c r="R15" s="74"/>
      <x:c r="S15" s="74"/>
      <x:c r="T15" s="74"/>
      <x:c r="U15" s="74"/>
      <x:c r="V15" s="74"/>
    </x:row>
    <x:row r="16" ht="42" customHeight="1">
      <x:c r="A16" s="74" t="str">
        <x:v>v3-01</x:v>
      </x:c>
      <x:c r="B16" s="74" t="str">
        <x:v>Summary</x:v>
      </x:c>
      <x:c r="C16" s="74" t="str">
        <x:v>미완료 Claim 10개 전부 표시하고 가독성 조정</x:v>
      </x:c>
      <x:c r="D16" s="74" t="str">
        <x:v>완료</x:v>
      </x:c>
      <x:c r="E16" s="74"/>
      <x:c r="F16" s="74"/>
      <x:c r="G16" s="74"/>
      <x:c r="H16" s="74"/>
      <x:c r="I16" s="74"/>
      <x:c r="J16" s="74"/>
      <x:c r="K16" s="74"/>
      <x:c r="L16" s="74"/>
      <x:c r="M16" s="74"/>
      <x:c r="N16" s="74"/>
      <x:c r="O16" s="74"/>
      <x:c r="P16" s="74"/>
      <x:c r="Q16" s="74"/>
      <x:c r="R16" s="74"/>
      <x:c r="S16" s="74"/>
      <x:c r="T16" s="74"/>
      <x:c r="U16" s="74"/>
      <x:c r="V16" s="74"/>
    </x:row>
    <x:row r="17" ht="42" customHeight="1">
      <x:c r="A17" s="74" t="str">
        <x:v>v3-02</x:v>
      </x:c>
      <x:c r="B17" s="74" t="str">
        <x:v>C15</x:v>
      </x:c>
      <x:c r="C17" s="74" t="str">
        <x:v>package interaction을 self-review/reference interaction으로 직접 분해</x:v>
      </x:c>
      <x:c r="D17" s="74" t="str">
        <x:v>완료</x:v>
      </x:c>
      <x:c r="E17" s="74"/>
      <x:c r="F17" s="74"/>
      <x:c r="G17" s="74"/>
      <x:c r="H17" s="74"/>
      <x:c r="I17" s="74"/>
      <x:c r="J17" s="74"/>
      <x:c r="K17" s="74"/>
      <x:c r="L17" s="74"/>
      <x:c r="M17" s="74"/>
      <x:c r="N17" s="74"/>
      <x:c r="O17" s="74"/>
      <x:c r="P17" s="74"/>
      <x:c r="Q17" s="74"/>
      <x:c r="R17" s="74"/>
      <x:c r="S17" s="74"/>
      <x:c r="T17" s="74"/>
      <x:c r="U17" s="74"/>
      <x:c r="V17" s="74"/>
    </x:row>
    <x:row r="18" ht="42" customHeight="1">
      <x:c r="A18" s="74" t="str">
        <x:v>v3-03</x:v>
      </x:c>
      <x:c r="B18" s="74" t="str">
        <x:v>C19</x:v>
      </x:c>
      <x:c r="C18" s="74" t="str">
        <x:v>clipping 기업률의 분모 n=575와 ≥1 clipped axis 정의 명시</x:v>
      </x:c>
      <x:c r="D18" s="74" t="str">
        <x:v>완료</x:v>
      </x:c>
      <x:c r="E18" s="74"/>
      <x:c r="F18" s="74"/>
      <x:c r="G18" s="74"/>
      <x:c r="H18" s="74"/>
      <x:c r="I18" s="74"/>
      <x:c r="J18" s="74"/>
      <x:c r="K18" s="74"/>
      <x:c r="L18" s="74"/>
      <x:c r="M18" s="74"/>
      <x:c r="N18" s="74"/>
      <x:c r="O18" s="74"/>
      <x:c r="P18" s="74"/>
      <x:c r="Q18" s="74"/>
      <x:c r="R18" s="74"/>
      <x:c r="S18" s="74"/>
      <x:c r="T18" s="74"/>
      <x:c r="U18" s="74"/>
      <x:c r="V18" s="74"/>
    </x:row>
    <x:row r="19" ht="42" customHeight="1">
      <x:c r="A19" s="74" t="str">
        <x:v>v3-04</x:v>
      </x:c>
      <x:c r="B19" s="74" t="str">
        <x:v>C12</x:v>
      </x:c>
      <x:c r="C19" s="74" t="str">
        <x:v>H3 Haiku 코호트와 E4 matched-budget QC 계약 분리</x:v>
      </x:c>
      <x:c r="D19" s="74" t="str">
        <x:v>완료</x:v>
      </x:c>
      <x:c r="E19" s="74"/>
      <x:c r="F19" s="74"/>
      <x:c r="G19" s="74"/>
      <x:c r="H19" s="74"/>
      <x:c r="I19" s="74"/>
      <x:c r="J19" s="74"/>
      <x:c r="K19" s="74"/>
      <x:c r="L19" s="74"/>
      <x:c r="M19" s="74"/>
      <x:c r="N19" s="74"/>
      <x:c r="O19" s="74"/>
      <x:c r="P19" s="74"/>
      <x:c r="Q19" s="74"/>
      <x:c r="R19" s="74"/>
      <x:c r="S19" s="74"/>
      <x:c r="T19" s="74"/>
      <x:c r="U19" s="74"/>
      <x:c r="V19" s="74"/>
    </x:row>
    <x:row r="20" ht="42" customHeight="1">
      <x:c r="A20" s="74" t="str">
        <x:v>v3-05</x:v>
      </x:c>
      <x:c r="B20" s="74" t="str">
        <x:v>RQ-H Map</x:v>
      </x:c>
      <x:c r="C20" s="74" t="str">
        <x:v>ACTIVE/PARTIAL/SUPERSEDED 상태 범례 추가</x:v>
      </x:c>
      <x:c r="D20" s="74" t="str">
        <x:v>완료</x:v>
      </x:c>
      <x:c r="E20" s="74"/>
      <x:c r="F20" s="74"/>
      <x:c r="G20" s="74"/>
      <x:c r="H20" s="74"/>
      <x:c r="I20" s="74"/>
      <x:c r="J20" s="74"/>
      <x:c r="K20" s="74"/>
      <x:c r="L20" s="74"/>
      <x:c r="M20" s="74"/>
      <x:c r="N20" s="74"/>
      <x:c r="O20" s="74"/>
      <x:c r="P20" s="74"/>
      <x:c r="Q20" s="74"/>
      <x:c r="R20" s="74"/>
      <x:c r="S20" s="74"/>
      <x:c r="T20" s="74"/>
      <x:c r="U20" s="74"/>
      <x:c r="V20" s="74"/>
    </x:row>
    <x:row r="21" ht="42" customHeight="1">
      <x:c r="A21" s="74" t="str">
        <x:v>v3-06</x:v>
      </x:c>
      <x:c r="B21" s="74" t="str">
        <x:v>Sources</x:v>
      </x:c>
      <x:c r="C21" s="74" t="str">
        <x:v>Upstream path와 canonical evidence path 분리</x:v>
      </x:c>
      <x:c r="D21" s="74" t="str">
        <x:v>완료</x:v>
      </x:c>
      <x:c r="E21" s="74"/>
      <x:c r="F21" s="74"/>
      <x:c r="G21" s="74"/>
      <x:c r="H21" s="74"/>
      <x:c r="I21" s="74"/>
      <x:c r="J21" s="74"/>
      <x:c r="K21" s="74"/>
      <x:c r="L21" s="74"/>
      <x:c r="M21" s="74"/>
      <x:c r="N21" s="74"/>
      <x:c r="O21" s="74"/>
      <x:c r="P21" s="74"/>
      <x:c r="Q21" s="74"/>
      <x:c r="R21" s="74"/>
      <x:c r="S21" s="74"/>
      <x:c r="T21" s="74"/>
      <x:c r="U21" s="74"/>
      <x:c r="V21" s="74"/>
    </x:row>
    <x:row r="22" ht="42" customHeight="1">
      <x:c r="A22" s="74" t="str">
        <x:v>v3-07</x:v>
      </x:c>
      <x:c r="B22" s="74" t="str">
        <x:v>Claim Map</x:v>
      </x:c>
      <x:c r="C22" s="74" t="str">
        <x:v>모든 Claim의 K열을 repro_repo canonical evidence layer로 전환</x:v>
      </x:c>
      <x:c r="D22" s="74" t="str">
        <x:v>완료</x:v>
      </x:c>
      <x:c r="E22" s="74"/>
      <x:c r="F22" s="74"/>
      <x:c r="G22" s="74"/>
      <x:c r="H22" s="74"/>
      <x:c r="I22" s="74"/>
      <x:c r="J22" s="74"/>
      <x:c r="K22" s="74"/>
      <x:c r="L22" s="74"/>
      <x:c r="M22" s="74"/>
      <x:c r="N22" s="74"/>
      <x:c r="O22" s="74"/>
      <x:c r="P22" s="74"/>
      <x:c r="Q22" s="74"/>
      <x:c r="R22" s="74"/>
      <x:c r="S22" s="74"/>
      <x:c r="T22" s="74"/>
      <x:c r="U22" s="74"/>
      <x:c r="V22" s="74"/>
    </x:row>
    <x:row r="23" ht="42" customHeight="1">
      <x:c r="A23" s="74" t="str">
        <x:v>v3-08</x:v>
      </x:c>
      <x:c r="B23" s="74" t="str">
        <x:v>Decisions</x:v>
      </x:c>
      <x:c r="C23" s="74" t="str">
        <x:v>D06–D09 연구·경로·판정 결정을 추가</x:v>
      </x:c>
      <x:c r="D23" s="74" t="str">
        <x:v>완료</x:v>
      </x:c>
      <x:c r="E23" s="74"/>
      <x:c r="F23" s="74"/>
      <x:c r="G23" s="74"/>
      <x:c r="H23" s="74"/>
      <x:c r="I23" s="74"/>
      <x:c r="J23" s="74"/>
      <x:c r="K23" s="74"/>
      <x:c r="L23" s="74"/>
      <x:c r="M23" s="74"/>
      <x:c r="N23" s="74"/>
      <x:c r="O23" s="74"/>
      <x:c r="P23" s="74"/>
      <x:c r="Q23" s="74"/>
      <x:c r="R23" s="74"/>
      <x:c r="S23" s="74"/>
      <x:c r="T23" s="74"/>
      <x:c r="U23" s="74"/>
      <x:c r="V23" s="74"/>
    </x:row>
    <x:row r="24" ht="42" customHeight="1">
      <x:c r="A24" s="74" t="str">
        <x:v>v4-01</x:v>
      </x:c>
      <x:c r="B24" s="74" t="str">
        <x:v>C09</x:v>
      </x:c>
      <x:c r="C24" s="74" t="str">
        <x:v>H1을 동결 사전명세 3백엔드 범위로 복원</x:v>
      </x:c>
      <x:c r="D24" s="74" t="str">
        <x:v>완료</x:v>
      </x:c>
      <x:c r="E24" s="74"/>
      <x:c r="F24" s="74"/>
      <x:c r="G24" s="74"/>
      <x:c r="H24" s="74"/>
      <x:c r="I24" s="74"/>
      <x:c r="J24" s="74"/>
      <x:c r="K24" s="74"/>
      <x:c r="L24" s="74"/>
      <x:c r="M24" s="74"/>
      <x:c r="N24" s="74"/>
      <x:c r="O24" s="74"/>
      <x:c r="P24" s="74"/>
      <x:c r="Q24" s="74"/>
      <x:c r="R24" s="74"/>
      <x:c r="S24" s="74"/>
      <x:c r="T24" s="74"/>
      <x:c r="U24" s="74"/>
      <x:c r="V24" s="74"/>
    </x:row>
    <x:row r="25" ht="42" customHeight="1">
      <x:c r="A25" s="74" t="str">
        <x:v>v4-02</x:v>
      </x:c>
      <x:c r="B25" s="74" t="str">
        <x:v>C26</x:v>
      </x:c>
      <x:c r="C25" s="74" t="str">
        <x:v>H2를 동결 사전명세 3백엔드 범위로 복원</x:v>
      </x:c>
      <x:c r="D25" s="74" t="str">
        <x:v>완료</x:v>
      </x:c>
      <x:c r="E25" s="74"/>
      <x:c r="F25" s="74"/>
      <x:c r="G25" s="74"/>
      <x:c r="H25" s="74"/>
      <x:c r="I25" s="74"/>
      <x:c r="J25" s="74"/>
      <x:c r="K25" s="74"/>
      <x:c r="L25" s="74"/>
      <x:c r="M25" s="74"/>
      <x:c r="N25" s="74"/>
      <x:c r="O25" s="74"/>
      <x:c r="P25" s="74"/>
      <x:c r="Q25" s="74"/>
      <x:c r="R25" s="74"/>
      <x:c r="S25" s="74"/>
      <x:c r="T25" s="74"/>
      <x:c r="U25" s="74"/>
      <x:c r="V25" s="74"/>
    </x:row>
    <x:row r="26" ht="42" customHeight="1">
      <x:c r="A26" s="74" t="str">
        <x:v>v4-03</x:v>
      </x:c>
      <x:c r="B26" s="74" t="str">
        <x:v>Decision links</x:v>
      </x:c>
      <x:c r="C26" s="74" t="str">
        <x:v>C12·C15·C19·C24에 D07–D09 역참조 연결</x:v>
      </x:c>
      <x:c r="D26" s="74" t="str">
        <x:v>완료</x:v>
      </x:c>
      <x:c r="E26" s="74"/>
      <x:c r="F26" s="74"/>
      <x:c r="G26" s="74"/>
      <x:c r="H26" s="74"/>
      <x:c r="I26" s="74"/>
      <x:c r="J26" s="74"/>
      <x:c r="K26" s="74"/>
      <x:c r="L26" s="74"/>
      <x:c r="M26" s="74"/>
      <x:c r="N26" s="74"/>
      <x:c r="O26" s="74"/>
      <x:c r="P26" s="74"/>
      <x:c r="Q26" s="74"/>
      <x:c r="R26" s="74"/>
      <x:c r="S26" s="74"/>
      <x:c r="T26" s="74"/>
      <x:c r="U26" s="74"/>
      <x:c r="V26" s="74"/>
    </x:row>
    <x:row r="27" ht="42" customHeight="1">
      <x:c r="A27" s="74" t="str">
        <x:v>v4-04</x:v>
      </x:c>
      <x:c r="B27" s="74" t="str">
        <x:v>C28</x:v>
      </x:c>
      <x:c r="C27" s="74" t="str">
        <x:v>S32를 실증 Source에서 제거하고 runtime status link로 분리</x:v>
      </x:c>
      <x:c r="D27" s="74" t="str">
        <x:v>완료</x:v>
      </x:c>
      <x:c r="E27" s="74"/>
      <x:c r="F27" s="74"/>
      <x:c r="G27" s="74"/>
      <x:c r="H27" s="74"/>
      <x:c r="I27" s="74"/>
      <x:c r="J27" s="74"/>
      <x:c r="K27" s="74"/>
      <x:c r="L27" s="74"/>
      <x:c r="M27" s="74"/>
      <x:c r="N27" s="74"/>
      <x:c r="O27" s="74"/>
      <x:c r="P27" s="74"/>
      <x:c r="Q27" s="74"/>
      <x:c r="R27" s="74"/>
      <x:c r="S27" s="74"/>
      <x:c r="T27" s="74"/>
      <x:c r="U27" s="74"/>
      <x:c r="V27" s="74"/>
    </x:row>
    <x:row r="28" ht="42" customHeight="1">
      <x:c r="A28" s="74" t="str">
        <x:v>v4-05</x:v>
      </x:c>
      <x:c r="B28" s="74" t="str">
        <x:v>Asset Map</x:v>
      </x:c>
      <x:c r="C28" s="74" t="str">
        <x:v>25개 기능 ID를 본문 16개 슬롯·부록으로 명시적 통합</x:v>
      </x:c>
      <x:c r="D28" s="74" t="str">
        <x:v>완료</x:v>
      </x:c>
      <x:c r="E28" s="74"/>
      <x:c r="F28" s="74"/>
      <x:c r="G28" s="74"/>
      <x:c r="H28" s="74"/>
      <x:c r="I28" s="74"/>
      <x:c r="J28" s="74"/>
      <x:c r="K28" s="74"/>
      <x:c r="L28" s="74"/>
      <x:c r="M28" s="74"/>
      <x:c r="N28" s="74"/>
      <x:c r="O28" s="74"/>
      <x:c r="P28" s="74"/>
      <x:c r="Q28" s="74"/>
      <x:c r="R28" s="74"/>
      <x:c r="S28" s="74"/>
      <x:c r="T28" s="74"/>
      <x:c r="U28" s="74"/>
      <x:c r="V28" s="74"/>
    </x:row>
    <x:row r="29" ht="42" customHeight="1">
      <x:c r="A29" s="74" t="str">
        <x:v>v4-06</x:v>
      </x:c>
      <x:c r="B29" s="74" t="str">
        <x:v>D10–D15</x:v>
      </x:c>
      <x:c r="C29" s="74" t="str">
        <x:v>H1/H2 범위·asset 예산·C28 manifest·class enum·COMPLETE·Git workflow 결정 추가</x:v>
      </x:c>
      <x:c r="D29" s="74" t="str">
        <x:v>완료</x:v>
      </x:c>
      <x:c r="E29" s="74"/>
      <x:c r="F29" s="74"/>
      <x:c r="G29" s="74"/>
      <x:c r="H29" s="74"/>
      <x:c r="I29" s="74"/>
      <x:c r="J29" s="74"/>
      <x:c r="K29" s="74"/>
      <x:c r="L29" s="74"/>
      <x:c r="M29" s="74"/>
      <x:c r="N29" s="74"/>
      <x:c r="O29" s="74"/>
      <x:c r="P29" s="74"/>
      <x:c r="Q29" s="74"/>
      <x:c r="R29" s="74"/>
      <x:c r="S29" s="74"/>
      <x:c r="T29" s="74"/>
      <x:c r="U29" s="74"/>
      <x:c r="V29" s="74"/>
    </x:row>
    <x:row r="30" ht="42" customHeight="1">
      <x:c r="A30" s="74" t="str">
        <x:v>v4-07</x:v>
      </x:c>
      <x:c r="B30" s="74" t="str">
        <x:v>Evidence enum</x:v>
      </x:c>
      <x:c r="C30" s="74" t="str">
        <x:v>공식 7개 Claim class enum 선언</x:v>
      </x:c>
      <x:c r="D30" s="74" t="str">
        <x:v>완료</x:v>
      </x:c>
      <x:c r="E30" s="74"/>
      <x:c r="F30" s="74"/>
      <x:c r="G30" s="74"/>
      <x:c r="H30" s="74"/>
      <x:c r="I30" s="74"/>
      <x:c r="J30" s="74"/>
      <x:c r="K30" s="74"/>
      <x:c r="L30" s="74"/>
      <x:c r="M30" s="74"/>
      <x:c r="N30" s="74"/>
      <x:c r="O30" s="74"/>
      <x:c r="P30" s="74"/>
      <x:c r="Q30" s="74"/>
      <x:c r="R30" s="74"/>
      <x:c r="S30" s="74"/>
      <x:c r="T30" s="74"/>
      <x:c r="U30" s="74"/>
      <x:c r="V30" s="74"/>
    </x:row>
    <x:row r="31" ht="42" customHeight="1">
      <x:c r="A31" s="74" t="str">
        <x:v>v4-08</x:v>
      </x:c>
      <x:c r="B31" s="74" t="str">
        <x:v>COMPLETE</x:v>
      </x:c>
      <x:c r="C31" s="74" t="str">
        <x:v>CORE_COMPLETE와 전체 Claim COMPLETE를 분리하는 결정 기록</x:v>
      </x:c>
      <x:c r="D31" s="74" t="str">
        <x:v>완료</x:v>
      </x:c>
      <x:c r="E31" s="74"/>
      <x:c r="F31" s="74"/>
      <x:c r="G31" s="74"/>
      <x:c r="H31" s="74"/>
      <x:c r="I31" s="74"/>
      <x:c r="J31" s="74"/>
      <x:c r="K31" s="74"/>
      <x:c r="L31" s="74"/>
      <x:c r="M31" s="74"/>
      <x:c r="N31" s="74"/>
      <x:c r="O31" s="74"/>
      <x:c r="P31" s="74"/>
      <x:c r="Q31" s="74"/>
      <x:c r="R31" s="74"/>
      <x:c r="S31" s="74"/>
      <x:c r="T31" s="74"/>
      <x:c r="U31" s="74"/>
      <x:c r="V31" s="74"/>
    </x:row>
    <x:row r="32" ht="42" customHeight="1">
      <x:c r="A32" s="74" t="str">
        <x:v>v4-09</x:v>
      </x:c>
      <x:c r="B32" s="74" t="str">
        <x:v>Git contract</x:v>
      </x:c>
      <x:c r="C32" s="74" t="str">
        <x:v>source immutability + output allowlist 방식으로 결정</x:v>
      </x:c>
      <x:c r="D32" s="74" t="str">
        <x:v>완료</x:v>
      </x:c>
      <x:c r="E32" s="74"/>
      <x:c r="F32" s="74"/>
      <x:c r="G32" s="74"/>
      <x:c r="H32" s="74"/>
      <x:c r="I32" s="74"/>
      <x:c r="J32" s="74"/>
      <x:c r="K32" s="74"/>
      <x:c r="L32" s="74"/>
      <x:c r="M32" s="74"/>
      <x:c r="N32" s="74"/>
      <x:c r="O32" s="74"/>
      <x:c r="P32" s="74"/>
      <x:c r="Q32" s="74"/>
      <x:c r="R32" s="74"/>
      <x:c r="S32" s="74"/>
      <x:c r="T32" s="74"/>
      <x:c r="U32" s="74"/>
      <x:c r="V32" s="74"/>
    </x:row>
    <x:row r="33" ht="42" customHeight="1">
      <x:c r="A33" s="74" t="str">
        <x:v>v4-10</x:v>
      </x:c>
      <x:c r="B33" s="74" t="str">
        <x:v>Verifier scope</x:v>
      </x:c>
      <x:c r="C33" s="74" t="str">
        <x:v>금지문자 검사는 generated machine/reviewer surfaces에 한정하도록 후속 계약에 반영</x:v>
      </x:c>
      <x:c r="D33" s="74" t="str">
        <x:v>완료</x:v>
      </x:c>
      <x:c r="E33" s="74"/>
      <x:c r="F33" s="74"/>
      <x:c r="G33" s="74"/>
      <x:c r="H33" s="74"/>
      <x:c r="I33" s="74"/>
      <x:c r="J33" s="74"/>
      <x:c r="K33" s="74"/>
      <x:c r="L33" s="74"/>
      <x:c r="M33" s="74"/>
      <x:c r="N33" s="74"/>
      <x:c r="O33" s="74"/>
      <x:c r="P33" s="74"/>
      <x:c r="Q33" s="74"/>
      <x:c r="R33" s="74"/>
      <x:c r="S33" s="74"/>
      <x:c r="T33" s="74"/>
      <x:c r="U33" s="74"/>
      <x:c r="V33" s="74"/>
    </x:row>
    <x:row r="34" ht="42" customHeight="1">
      <x:c r="A34" s="74" t="str">
        <x:v>v4-11</x:v>
      </x:c>
      <x:c r="B34" s="74" t="str">
        <x:v>Final slot column</x:v>
      </x:c>
      <x:c r="C34" s="74" t="str">
        <x:v>Claim Map V열에 최종 슬롯 추가</x:v>
      </x:c>
      <x:c r="D34" s="74" t="str">
        <x:v>완료</x:v>
      </x:c>
      <x:c r="E34" s="74"/>
      <x:c r="F34" s="74"/>
      <x:c r="G34" s="74"/>
      <x:c r="H34" s="74"/>
      <x:c r="I34" s="74"/>
      <x:c r="J34" s="74"/>
      <x:c r="K34" s="74"/>
      <x:c r="L34" s="74"/>
      <x:c r="M34" s="74"/>
      <x:c r="N34" s="74"/>
      <x:c r="O34" s="74"/>
      <x:c r="P34" s="74"/>
      <x:c r="Q34" s="74"/>
      <x:c r="R34" s="74"/>
      <x:c r="S34" s="74"/>
      <x:c r="T34" s="74"/>
      <x:c r="U34" s="74"/>
      <x:c r="V34" s="74"/>
    </x:row>
    <x:row r="35">
      <x:c r="A35" s="74"/>
      <x:c r="B35" s="74"/>
      <x:c r="C35" s="74"/>
      <x:c r="D35" s="74"/>
      <x:c r="E35" s="74"/>
      <x:c r="F35" s="74"/>
      <x:c r="G35" s="74"/>
      <x:c r="H35" s="74"/>
      <x:c r="I35" s="74"/>
      <x:c r="J35" s="74"/>
      <x:c r="K35" s="74"/>
      <x:c r="L35" s="74"/>
      <x:c r="M35" s="74"/>
      <x:c r="N35" s="74"/>
      <x:c r="O35" s="74"/>
      <x:c r="P35" s="74"/>
      <x:c r="Q35" s="74"/>
      <x:c r="R35" s="74"/>
      <x:c r="S35" s="74"/>
      <x:c r="T35" s="74"/>
      <x:c r="U35" s="74"/>
      <x:c r="V35" s="74"/>
    </x:row>
    <x:row r="36">
      <x:c r="A36" s="74"/>
      <x:c r="B36" s="74"/>
      <x:c r="C36" s="74"/>
      <x:c r="D36" s="74"/>
      <x:c r="E36" s="74"/>
      <x:c r="F36" s="74"/>
      <x:c r="G36" s="74"/>
      <x:c r="H36" s="74"/>
      <x:c r="I36" s="74"/>
      <x:c r="J36" s="74"/>
      <x:c r="K36" s="74"/>
      <x:c r="L36" s="74"/>
      <x:c r="M36" s="74"/>
      <x:c r="N36" s="74"/>
      <x:c r="O36" s="74"/>
      <x:c r="P36" s="74"/>
      <x:c r="Q36" s="74"/>
      <x:c r="R36" s="74"/>
      <x:c r="S36" s="74"/>
      <x:c r="T36" s="74"/>
      <x:c r="U36" s="74"/>
      <x:c r="V36" s="74"/>
    </x:row>
    <x:row r="37">
      <x:c r="A37" s="74"/>
      <x:c r="B37" s="74"/>
      <x:c r="C37" s="74"/>
      <x:c r="D37" s="74"/>
      <x:c r="E37" s="74"/>
      <x:c r="F37" s="74"/>
      <x:c r="G37" s="74"/>
      <x:c r="H37" s="74"/>
      <x:c r="I37" s="74"/>
      <x:c r="J37" s="74"/>
      <x:c r="K37" s="74"/>
      <x:c r="L37" s="74"/>
      <x:c r="M37" s="74"/>
      <x:c r="N37" s="74"/>
      <x:c r="O37" s="74"/>
      <x:c r="P37" s="74"/>
      <x:c r="Q37" s="74"/>
      <x:c r="R37" s="74"/>
      <x:c r="S37" s="74"/>
      <x:c r="T37" s="74"/>
      <x:c r="U37" s="74"/>
      <x:c r="V37" s="74"/>
    </x:row>
    <x:row r="38">
      <x:c r="A38" s="74"/>
      <x:c r="B38" s="74"/>
      <x:c r="C38" s="74"/>
      <x:c r="D38" s="74"/>
      <x:c r="E38" s="74"/>
      <x:c r="F38" s="74"/>
      <x:c r="G38" s="74"/>
      <x:c r="H38" s="74"/>
      <x:c r="I38" s="74"/>
      <x:c r="J38" s="74"/>
      <x:c r="K38" s="74"/>
      <x:c r="L38" s="74"/>
      <x:c r="M38" s="74"/>
      <x:c r="N38" s="74"/>
      <x:c r="O38" s="74"/>
      <x:c r="P38" s="74"/>
      <x:c r="Q38" s="74"/>
      <x:c r="R38" s="74"/>
      <x:c r="S38" s="74"/>
      <x:c r="T38" s="74"/>
      <x:c r="U38" s="74"/>
      <x:c r="V38" s="74"/>
    </x:row>
    <x:row r="39">
      <x:c r="A39" s="74"/>
      <x:c r="B39" s="74"/>
      <x:c r="C39" s="74"/>
      <x:c r="D39" s="74"/>
      <x:c r="E39" s="74"/>
      <x:c r="F39" s="74"/>
      <x:c r="G39" s="74"/>
      <x:c r="H39" s="74"/>
      <x:c r="I39" s="74"/>
      <x:c r="J39" s="74"/>
      <x:c r="K39" s="74"/>
      <x:c r="L39" s="74"/>
      <x:c r="M39" s="74"/>
      <x:c r="N39" s="74"/>
      <x:c r="O39" s="74"/>
      <x:c r="P39" s="74"/>
      <x:c r="Q39" s="74"/>
      <x:c r="R39" s="74"/>
      <x:c r="S39" s="74"/>
      <x:c r="T39" s="74"/>
      <x:c r="U39" s="74"/>
      <x:c r="V39" s="74"/>
    </x:row>
    <x:row r="40">
      <x:c r="A40" s="74"/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4"/>
      <x:c r="T40" s="74"/>
      <x:c r="U40" s="74"/>
      <x:c r="V40" s="74"/>
    </x:row>
    <x:row r="41">
      <x:c r="A41" s="74"/>
      <x:c r="B41" s="74"/>
      <x:c r="C41" s="74"/>
      <x:c r="D41" s="74"/>
      <x:c r="E41" s="74"/>
      <x:c r="F41" s="74"/>
      <x:c r="G41" s="74"/>
      <x:c r="H41" s="74"/>
      <x:c r="I41" s="74"/>
      <x:c r="J41" s="74"/>
      <x:c r="K41" s="74"/>
      <x:c r="L41" s="74"/>
      <x:c r="M41" s="74"/>
      <x:c r="N41" s="74"/>
      <x:c r="O41" s="74"/>
      <x:c r="P41" s="74"/>
      <x:c r="Q41" s="74"/>
      <x:c r="R41" s="74"/>
      <x:c r="S41" s="74"/>
      <x:c r="T41" s="74"/>
      <x:c r="U41" s="74"/>
      <x:c r="V41" s="74"/>
    </x:row>
    <x:row r="42">
      <x:c r="A42" s="74"/>
      <x:c r="B42" s="74"/>
      <x:c r="C42" s="74"/>
      <x:c r="D42" s="74"/>
      <x:c r="E42" s="74"/>
      <x:c r="F42" s="74"/>
      <x:c r="G42" s="74"/>
      <x:c r="H42" s="74"/>
      <x:c r="I42" s="74"/>
      <x:c r="J42" s="74"/>
      <x:c r="K42" s="74"/>
      <x:c r="L42" s="74"/>
      <x:c r="M42" s="74"/>
      <x:c r="N42" s="74"/>
      <x:c r="O42" s="74"/>
      <x:c r="P42" s="74"/>
      <x:c r="Q42" s="74"/>
      <x:c r="R42" s="74"/>
      <x:c r="S42" s="74"/>
      <x:c r="T42" s="74"/>
      <x:c r="U42" s="74"/>
      <x:c r="V42" s="74"/>
    </x:row>
    <x:row r="43">
      <x:c r="A43" s="74"/>
      <x:c r="B43" s="74"/>
      <x:c r="C43" s="74"/>
      <x:c r="D43" s="74"/>
      <x:c r="E43" s="74"/>
      <x:c r="F43" s="74"/>
      <x:c r="G43" s="74"/>
      <x:c r="H43" s="74"/>
      <x:c r="I43" s="74"/>
      <x:c r="J43" s="74"/>
      <x:c r="K43" s="74"/>
      <x:c r="L43" s="74"/>
      <x:c r="M43" s="74"/>
      <x:c r="N43" s="74"/>
      <x:c r="O43" s="74"/>
      <x:c r="P43" s="74"/>
      <x:c r="Q43" s="74"/>
      <x:c r="R43" s="74"/>
      <x:c r="S43" s="74"/>
      <x:c r="T43" s="74"/>
      <x:c r="U43" s="74"/>
      <x:c r="V43" s="74"/>
    </x:row>
    <x:row r="44">
      <x:c r="A44" s="74"/>
      <x:c r="B44" s="74"/>
      <x:c r="C44" s="74"/>
      <x:c r="D44" s="74"/>
      <x:c r="E44" s="74"/>
      <x:c r="F44" s="74"/>
      <x:c r="G44" s="74"/>
      <x:c r="H44" s="74"/>
      <x:c r="I44" s="74"/>
      <x:c r="J44" s="74"/>
      <x:c r="K44" s="74"/>
      <x:c r="L44" s="74"/>
      <x:c r="M44" s="74"/>
      <x:c r="N44" s="74"/>
      <x:c r="O44" s="74"/>
      <x:c r="P44" s="74"/>
      <x:c r="Q44" s="74"/>
      <x:c r="R44" s="74"/>
      <x:c r="S44" s="74"/>
      <x:c r="T44" s="74"/>
      <x:c r="U44" s="74"/>
      <x:c r="V44" s="74"/>
    </x:row>
    <x:row r="45">
      <x:c r="A45" s="74"/>
      <x:c r="B45" s="74"/>
      <x:c r="C45" s="74"/>
      <x:c r="D45" s="74"/>
      <x:c r="E45" s="74"/>
      <x:c r="F45" s="74"/>
      <x:c r="G45" s="74"/>
      <x:c r="H45" s="74"/>
      <x:c r="I45" s="74"/>
      <x:c r="J45" s="74"/>
      <x:c r="K45" s="74"/>
      <x:c r="L45" s="74"/>
      <x:c r="M45" s="74"/>
      <x:c r="N45" s="74"/>
      <x:c r="O45" s="74"/>
      <x:c r="P45" s="74"/>
      <x:c r="Q45" s="74"/>
      <x:c r="R45" s="74"/>
      <x:c r="S45" s="74"/>
      <x:c r="T45" s="74"/>
      <x:c r="U45" s="74"/>
      <x:c r="V45" s="74"/>
    </x:row>
    <x:row r="46">
      <x:c r="A46" s="74"/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4"/>
      <x:c r="M46" s="74"/>
      <x:c r="N46" s="74"/>
      <x:c r="O46" s="74"/>
      <x:c r="P46" s="74"/>
      <x:c r="Q46" s="74"/>
      <x:c r="R46" s="74"/>
      <x:c r="S46" s="74"/>
      <x:c r="T46" s="74"/>
      <x:c r="U46" s="74"/>
      <x:c r="V46" s="74"/>
    </x:row>
    <x:row r="47">
      <x:c r="A47" s="74"/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4"/>
      <x:c r="M47" s="74"/>
      <x:c r="N47" s="74"/>
      <x:c r="O47" s="74"/>
      <x:c r="P47" s="74"/>
      <x:c r="Q47" s="74"/>
      <x:c r="R47" s="74"/>
      <x:c r="S47" s="74"/>
      <x:c r="T47" s="74"/>
      <x:c r="U47" s="74"/>
      <x:c r="V47" s="74"/>
    </x:row>
    <x:row r="48">
      <x:c r="A48" s="74"/>
      <x:c r="B48" s="74"/>
      <x:c r="C48" s="74"/>
      <x:c r="D48" s="74"/>
      <x:c r="E48" s="74"/>
      <x:c r="F48" s="74"/>
      <x:c r="G48" s="74"/>
      <x:c r="H48" s="74"/>
      <x:c r="I48" s="74"/>
      <x:c r="J48" s="74"/>
      <x:c r="K48" s="74"/>
      <x:c r="L48" s="74"/>
      <x:c r="M48" s="74"/>
      <x:c r="N48" s="74"/>
      <x:c r="O48" s="74"/>
      <x:c r="P48" s="74"/>
      <x:c r="Q48" s="74"/>
      <x:c r="R48" s="74"/>
      <x:c r="S48" s="74"/>
      <x:c r="T48" s="74"/>
      <x:c r="U48" s="74"/>
      <x:c r="V48" s="74"/>
    </x:row>
    <x:row r="49">
      <x:c r="A49" s="74"/>
      <x:c r="B49" s="74"/>
      <x:c r="C49" s="74"/>
      <x:c r="D49" s="74"/>
      <x:c r="E49" s="74"/>
      <x:c r="F49" s="74"/>
      <x:c r="G49" s="74"/>
      <x:c r="H49" s="74"/>
      <x:c r="I49" s="74"/>
      <x:c r="J49" s="74"/>
      <x:c r="K49" s="74"/>
      <x:c r="L49" s="74"/>
      <x:c r="M49" s="74"/>
      <x:c r="N49" s="74"/>
      <x:c r="O49" s="74"/>
      <x:c r="P49" s="74"/>
      <x:c r="Q49" s="74"/>
      <x:c r="R49" s="74"/>
      <x:c r="S49" s="74"/>
      <x:c r="T49" s="74"/>
      <x:c r="U49" s="74"/>
      <x:c r="V49" s="74"/>
    </x:row>
    <x:row r="50">
      <x:c r="A50" s="74"/>
      <x:c r="B50" s="74"/>
      <x:c r="C50" s="74"/>
      <x:c r="D50" s="74"/>
      <x:c r="E50" s="74"/>
      <x:c r="F50" s="74"/>
      <x:c r="G50" s="74"/>
      <x:c r="H50" s="74"/>
      <x:c r="I50" s="74"/>
      <x:c r="J50" s="74"/>
      <x:c r="K50" s="74"/>
      <x:c r="L50" s="74"/>
      <x:c r="M50" s="74"/>
      <x:c r="N50" s="74"/>
      <x:c r="O50" s="74"/>
      <x:c r="P50" s="74"/>
      <x:c r="Q50" s="74"/>
      <x:c r="R50" s="74"/>
      <x:c r="S50" s="74"/>
      <x:c r="T50" s="74"/>
      <x:c r="U50" s="74"/>
      <x:c r="V50" s="74"/>
    </x:row>
    <x:row r="51">
      <x:c r="A51" s="74"/>
      <x:c r="B51" s="74"/>
      <x:c r="C51" s="74"/>
      <x:c r="D51" s="74"/>
      <x:c r="E51" s="74"/>
      <x:c r="F51" s="74"/>
      <x:c r="G51" s="74"/>
      <x:c r="H51" s="74"/>
      <x:c r="I51" s="74"/>
      <x:c r="J51" s="74"/>
      <x:c r="K51" s="74"/>
      <x:c r="L51" s="74"/>
      <x:c r="M51" s="74"/>
      <x:c r="N51" s="74"/>
      <x:c r="O51" s="74"/>
      <x:c r="P51" s="74"/>
      <x:c r="Q51" s="74"/>
      <x:c r="R51" s="74"/>
      <x:c r="S51" s="74"/>
      <x:c r="T51" s="74"/>
      <x:c r="U51" s="74"/>
      <x:c r="V51" s="74"/>
    </x:row>
    <x:row r="52">
      <x:c r="A52" s="74"/>
      <x:c r="B52" s="74"/>
      <x:c r="C52" s="74"/>
      <x:c r="D52" s="74"/>
      <x:c r="E52" s="74"/>
      <x:c r="F52" s="74"/>
      <x:c r="G52" s="74"/>
      <x:c r="H52" s="74"/>
      <x:c r="I52" s="74"/>
      <x:c r="J52" s="74"/>
      <x:c r="K52" s="74"/>
      <x:c r="L52" s="74"/>
      <x:c r="M52" s="74"/>
      <x:c r="N52" s="74"/>
      <x:c r="O52" s="74"/>
      <x:c r="P52" s="74"/>
      <x:c r="Q52" s="74"/>
      <x:c r="R52" s="74"/>
      <x:c r="S52" s="74"/>
      <x:c r="T52" s="74"/>
      <x:c r="U52" s="74"/>
      <x:c r="V52" s="74"/>
    </x:row>
    <x:row r="53">
      <x:c r="A53" s="74"/>
      <x:c r="B53" s="74"/>
      <x:c r="C53" s="74"/>
      <x:c r="D53" s="74"/>
      <x:c r="E53" s="74"/>
      <x:c r="F53" s="74"/>
      <x:c r="G53" s="74"/>
      <x:c r="H53" s="74"/>
      <x:c r="I53" s="74"/>
      <x:c r="J53" s="74"/>
      <x:c r="K53" s="74"/>
      <x:c r="L53" s="74"/>
      <x:c r="M53" s="74"/>
      <x:c r="N53" s="74"/>
      <x:c r="O53" s="74"/>
      <x:c r="P53" s="74"/>
      <x:c r="Q53" s="74"/>
      <x:c r="R53" s="74"/>
      <x:c r="S53" s="74"/>
      <x:c r="T53" s="74"/>
      <x:c r="U53" s="74"/>
      <x:c r="V53" s="74"/>
    </x:row>
    <x:row r="54">
      <x:c r="A54" s="74"/>
      <x:c r="B54" s="74"/>
      <x:c r="C54" s="74"/>
      <x:c r="D54" s="74"/>
      <x:c r="E54" s="74"/>
      <x:c r="F54" s="74"/>
      <x:c r="G54" s="74"/>
      <x:c r="H54" s="74"/>
      <x:c r="I54" s="74"/>
      <x:c r="J54" s="74"/>
      <x:c r="K54" s="74"/>
      <x:c r="L54" s="74"/>
      <x:c r="M54" s="74"/>
      <x:c r="N54" s="74"/>
      <x:c r="O54" s="74"/>
      <x:c r="P54" s="74"/>
      <x:c r="Q54" s="74"/>
      <x:c r="R54" s="74"/>
      <x:c r="S54" s="74"/>
      <x:c r="T54" s="74"/>
      <x:c r="U54" s="74"/>
      <x:c r="V54" s="74"/>
    </x:row>
    <x:row r="55">
      <x:c r="A55" s="74"/>
      <x:c r="B55" s="74"/>
      <x:c r="C55" s="74"/>
      <x:c r="D55" s="74"/>
      <x:c r="E55" s="74"/>
      <x:c r="F55" s="74"/>
      <x:c r="G55" s="74"/>
      <x:c r="H55" s="74"/>
      <x:c r="I55" s="74"/>
      <x:c r="J55" s="74"/>
      <x:c r="K55" s="74"/>
      <x:c r="L55" s="74"/>
      <x:c r="M55" s="74"/>
      <x:c r="N55" s="74"/>
      <x:c r="O55" s="74"/>
      <x:c r="P55" s="74"/>
      <x:c r="Q55" s="74"/>
      <x:c r="R55" s="74"/>
      <x:c r="S55" s="74"/>
      <x:c r="T55" s="74"/>
      <x:c r="U55" s="74"/>
      <x:c r="V55" s="74"/>
    </x:row>
    <x:row r="56">
      <x:c r="A56" s="74"/>
      <x:c r="B56" s="74"/>
      <x:c r="C56" s="74"/>
      <x:c r="D56" s="74"/>
      <x:c r="E56" s="74"/>
      <x:c r="F56" s="74"/>
      <x:c r="G56" s="74"/>
      <x:c r="H56" s="74"/>
      <x:c r="I56" s="74"/>
      <x:c r="J56" s="74"/>
      <x:c r="K56" s="74"/>
      <x:c r="L56" s="74"/>
      <x:c r="M56" s="74"/>
      <x:c r="N56" s="74"/>
      <x:c r="O56" s="74"/>
      <x:c r="P56" s="74"/>
      <x:c r="Q56" s="74"/>
      <x:c r="R56" s="74"/>
      <x:c r="S56" s="74"/>
      <x:c r="T56" s="74"/>
      <x:c r="U56" s="74"/>
      <x:c r="V56" s="74"/>
    </x:row>
    <x:row r="57">
      <x:c r="A57" s="74"/>
      <x:c r="B57" s="74"/>
      <x:c r="C57" s="74"/>
      <x:c r="D57" s="74"/>
      <x:c r="E57" s="74"/>
      <x:c r="F57" s="74"/>
      <x:c r="G57" s="74"/>
      <x:c r="H57" s="74"/>
      <x:c r="I57" s="74"/>
      <x:c r="J57" s="74"/>
      <x:c r="K57" s="74"/>
      <x:c r="L57" s="74"/>
      <x:c r="M57" s="74"/>
      <x:c r="N57" s="74"/>
      <x:c r="O57" s="74"/>
      <x:c r="P57" s="74"/>
      <x:c r="Q57" s="74"/>
      <x:c r="R57" s="74"/>
      <x:c r="S57" s="74"/>
      <x:c r="T57" s="74"/>
      <x:c r="U57" s="74"/>
      <x:c r="V57" s="74"/>
    </x:row>
    <x:row r="58">
      <x:c r="A58" s="74"/>
      <x:c r="B58" s="74"/>
      <x:c r="C58" s="74"/>
      <x:c r="D58" s="74"/>
      <x:c r="E58" s="74"/>
      <x:c r="F58" s="74"/>
      <x:c r="G58" s="74"/>
      <x:c r="H58" s="74"/>
      <x:c r="I58" s="74"/>
      <x:c r="J58" s="74"/>
      <x:c r="K58" s="74"/>
      <x:c r="L58" s="74"/>
      <x:c r="M58" s="74"/>
      <x:c r="N58" s="74"/>
      <x:c r="O58" s="74"/>
      <x:c r="P58" s="74"/>
      <x:c r="Q58" s="74"/>
      <x:c r="R58" s="74"/>
      <x:c r="S58" s="74"/>
      <x:c r="T58" s="74"/>
      <x:c r="U58" s="74"/>
      <x:c r="V58" s="74"/>
    </x:row>
    <x:row r="59">
      <x:c r="A59" s="74"/>
      <x:c r="B59" s="74"/>
      <x:c r="C59" s="74"/>
      <x:c r="D59" s="74"/>
      <x:c r="E59" s="74"/>
      <x:c r="F59" s="74"/>
      <x:c r="G59" s="74"/>
      <x:c r="H59" s="74"/>
      <x:c r="I59" s="74"/>
      <x:c r="J59" s="74"/>
      <x:c r="K59" s="74"/>
      <x:c r="L59" s="74"/>
      <x:c r="M59" s="74"/>
      <x:c r="N59" s="74"/>
      <x:c r="O59" s="74"/>
      <x:c r="P59" s="74"/>
      <x:c r="Q59" s="74"/>
      <x:c r="R59" s="74"/>
      <x:c r="S59" s="74"/>
      <x:c r="T59" s="74"/>
      <x:c r="U59" s="74"/>
      <x:c r="V59" s="74"/>
    </x:row>
    <x:row r="60">
      <x:c r="A60" s="74"/>
      <x:c r="B60" s="74"/>
      <x:c r="C60" s="74"/>
      <x:c r="D60" s="74"/>
      <x:c r="E60" s="74"/>
      <x:c r="F60" s="74"/>
      <x:c r="G60" s="74"/>
      <x:c r="H60" s="74"/>
      <x:c r="I60" s="74"/>
      <x:c r="J60" s="74"/>
      <x:c r="K60" s="74"/>
      <x:c r="L60" s="74"/>
      <x:c r="M60" s="74"/>
      <x:c r="N60" s="74"/>
      <x:c r="O60" s="74"/>
      <x:c r="P60" s="74"/>
      <x:c r="Q60" s="74"/>
      <x:c r="R60" s="74"/>
      <x:c r="S60" s="74"/>
      <x:c r="T60" s="74"/>
      <x:c r="U60" s="74"/>
      <x:c r="V60" s="74"/>
    </x:row>
    <x:row r="61">
      <x:c r="A61" s="74"/>
      <x:c r="B61" s="74"/>
      <x:c r="C61" s="74"/>
      <x:c r="D61" s="74"/>
      <x:c r="E61" s="74"/>
      <x:c r="F61" s="74"/>
      <x:c r="G61" s="74"/>
      <x:c r="H61" s="74"/>
      <x:c r="I61" s="74"/>
      <x:c r="J61" s="74"/>
      <x:c r="K61" s="74"/>
      <x:c r="L61" s="74"/>
      <x:c r="M61" s="74"/>
      <x:c r="N61" s="74"/>
      <x:c r="O61" s="74"/>
      <x:c r="P61" s="74"/>
      <x:c r="Q61" s="74"/>
      <x:c r="R61" s="74"/>
      <x:c r="S61" s="74"/>
      <x:c r="T61" s="74"/>
      <x:c r="U61" s="74"/>
      <x:c r="V61" s="74"/>
    </x:row>
    <x:row r="62">
      <x:c r="A62" s="74"/>
      <x:c r="B62" s="74"/>
      <x:c r="C62" s="74"/>
      <x:c r="D62" s="74"/>
      <x:c r="E62" s="74"/>
      <x:c r="F62" s="74"/>
      <x:c r="G62" s="74"/>
      <x:c r="H62" s="74"/>
      <x:c r="I62" s="74"/>
      <x:c r="J62" s="74"/>
      <x:c r="K62" s="74"/>
      <x:c r="L62" s="74"/>
      <x:c r="M62" s="74"/>
      <x:c r="N62" s="74"/>
      <x:c r="O62" s="74"/>
      <x:c r="P62" s="74"/>
      <x:c r="Q62" s="74"/>
      <x:c r="R62" s="74"/>
      <x:c r="S62" s="74"/>
      <x:c r="T62" s="74"/>
      <x:c r="U62" s="74"/>
      <x:c r="V62" s="74"/>
    </x:row>
    <x:row r="63">
      <x:c r="A63" s="74"/>
      <x:c r="B63" s="74"/>
      <x:c r="C63" s="74"/>
      <x:c r="D63" s="74"/>
      <x:c r="E63" s="74"/>
      <x:c r="F63" s="74"/>
      <x:c r="G63" s="74"/>
      <x:c r="H63" s="74"/>
      <x:c r="I63" s="74"/>
      <x:c r="J63" s="74"/>
      <x:c r="K63" s="74"/>
      <x:c r="L63" s="74"/>
      <x:c r="M63" s="74"/>
      <x:c r="N63" s="74"/>
      <x:c r="O63" s="74"/>
      <x:c r="P63" s="74"/>
      <x:c r="Q63" s="74"/>
      <x:c r="R63" s="74"/>
      <x:c r="S63" s="74"/>
      <x:c r="T63" s="74"/>
      <x:c r="U63" s="74"/>
      <x:c r="V63" s="74"/>
    </x:row>
    <x:row r="64">
      <x:c r="A64" s="74"/>
      <x:c r="B64" s="74"/>
      <x:c r="C64" s="74"/>
      <x:c r="D64" s="74"/>
      <x:c r="E64" s="74"/>
      <x:c r="F64" s="74"/>
      <x:c r="G64" s="74"/>
      <x:c r="H64" s="74"/>
      <x:c r="I64" s="74"/>
      <x:c r="J64" s="74"/>
      <x:c r="K64" s="74"/>
      <x:c r="L64" s="74"/>
      <x:c r="M64" s="74"/>
      <x:c r="N64" s="74"/>
      <x:c r="O64" s="74"/>
      <x:c r="P64" s="74"/>
      <x:c r="Q64" s="74"/>
      <x:c r="R64" s="74"/>
      <x:c r="S64" s="74"/>
      <x:c r="T64" s="74"/>
      <x:c r="U64" s="74"/>
      <x:c r="V64" s="74"/>
    </x:row>
    <x:row r="65">
      <x:c r="A65" s="74"/>
      <x:c r="B65" s="74"/>
      <x:c r="C65" s="74"/>
      <x:c r="D65" s="74"/>
      <x:c r="E65" s="74"/>
      <x:c r="F65" s="74"/>
      <x:c r="G65" s="74"/>
      <x:c r="H65" s="74"/>
      <x:c r="I65" s="74"/>
      <x:c r="J65" s="74"/>
      <x:c r="K65" s="74"/>
      <x:c r="L65" s="74"/>
      <x:c r="M65" s="74"/>
      <x:c r="N65" s="74"/>
      <x:c r="O65" s="74"/>
      <x:c r="P65" s="74"/>
      <x:c r="Q65" s="74"/>
      <x:c r="R65" s="74"/>
      <x:c r="S65" s="74"/>
      <x:c r="T65" s="74"/>
      <x:c r="U65" s="74"/>
      <x:c r="V65" s="74"/>
    </x:row>
    <x:row r="66">
      <x:c r="A66" s="74"/>
      <x:c r="B66" s="74"/>
      <x:c r="C66" s="74"/>
      <x:c r="D66" s="74"/>
      <x:c r="E66" s="74"/>
      <x:c r="F66" s="74"/>
      <x:c r="G66" s="74"/>
      <x:c r="H66" s="74"/>
      <x:c r="I66" s="74"/>
      <x:c r="J66" s="74"/>
      <x:c r="K66" s="74"/>
      <x:c r="L66" s="74"/>
      <x:c r="M66" s="74"/>
      <x:c r="N66" s="74"/>
      <x:c r="O66" s="74"/>
      <x:c r="P66" s="74"/>
      <x:c r="Q66" s="74"/>
      <x:c r="R66" s="74"/>
      <x:c r="S66" s="74"/>
      <x:c r="T66" s="74"/>
      <x:c r="U66" s="74"/>
      <x:c r="V66" s="74"/>
    </x:row>
    <x:row r="67">
      <x:c r="A67" s="74"/>
      <x:c r="B67" s="74"/>
      <x:c r="C67" s="74"/>
      <x:c r="D67" s="74"/>
      <x:c r="E67" s="74"/>
      <x:c r="F67" s="74"/>
      <x:c r="G67" s="74"/>
      <x:c r="H67" s="74"/>
      <x:c r="I67" s="74"/>
      <x:c r="J67" s="74"/>
      <x:c r="K67" s="74"/>
      <x:c r="L67" s="74"/>
      <x:c r="M67" s="74"/>
      <x:c r="N67" s="74"/>
      <x:c r="O67" s="74"/>
      <x:c r="P67" s="74"/>
      <x:c r="Q67" s="74"/>
      <x:c r="R67" s="74"/>
      <x:c r="S67" s="74"/>
      <x:c r="T67" s="74"/>
      <x:c r="U67" s="74"/>
      <x:c r="V67" s="74"/>
    </x:row>
    <x:row r="68">
      <x:c r="A68" s="74"/>
      <x:c r="B68" s="74"/>
      <x:c r="C68" s="74"/>
      <x:c r="D68" s="74"/>
      <x:c r="E68" s="74"/>
      <x:c r="F68" s="74"/>
      <x:c r="G68" s="74"/>
      <x:c r="H68" s="74"/>
      <x:c r="I68" s="74"/>
      <x:c r="J68" s="74"/>
      <x:c r="K68" s="74"/>
      <x:c r="L68" s="74"/>
      <x:c r="M68" s="74"/>
      <x:c r="N68" s="74"/>
      <x:c r="O68" s="74"/>
      <x:c r="P68" s="74"/>
      <x:c r="Q68" s="74"/>
      <x:c r="R68" s="74"/>
      <x:c r="S68" s="74"/>
      <x:c r="T68" s="74"/>
      <x:c r="U68" s="74"/>
      <x:c r="V68" s="74"/>
    </x:row>
    <x:row r="69">
      <x:c r="A69" s="74"/>
      <x:c r="B69" s="74"/>
      <x:c r="C69" s="74"/>
      <x:c r="D69" s="74"/>
      <x:c r="E69" s="74"/>
      <x:c r="F69" s="74"/>
      <x:c r="G69" s="74"/>
      <x:c r="H69" s="74"/>
      <x:c r="I69" s="74"/>
      <x:c r="J69" s="74"/>
      <x:c r="K69" s="74"/>
      <x:c r="L69" s="74"/>
      <x:c r="M69" s="74"/>
      <x:c r="N69" s="74"/>
      <x:c r="O69" s="74"/>
      <x:c r="P69" s="74"/>
      <x:c r="Q69" s="74"/>
      <x:c r="R69" s="74"/>
      <x:c r="S69" s="74"/>
      <x:c r="T69" s="74"/>
      <x:c r="U69" s="74"/>
      <x:c r="V69" s="74"/>
    </x:row>
    <x:row r="70">
      <x:c r="A70" s="74"/>
      <x:c r="B70" s="74"/>
      <x:c r="C70" s="74"/>
      <x:c r="D70" s="74"/>
      <x:c r="E70" s="74"/>
      <x:c r="F70" s="74"/>
      <x:c r="G70" s="74"/>
      <x:c r="H70" s="74"/>
      <x:c r="I70" s="74"/>
      <x:c r="J70" s="74"/>
      <x:c r="K70" s="74"/>
      <x:c r="L70" s="74"/>
      <x:c r="M70" s="74"/>
      <x:c r="N70" s="74"/>
      <x:c r="O70" s="74"/>
      <x:c r="P70" s="74"/>
      <x:c r="Q70" s="74"/>
      <x:c r="R70" s="74"/>
      <x:c r="S70" s="74"/>
      <x:c r="T70" s="74"/>
      <x:c r="U70" s="74"/>
      <x:c r="V70" s="74"/>
    </x:row>
    <x:row r="71">
      <x:c r="A71" s="74"/>
      <x:c r="B71" s="74"/>
      <x:c r="C71" s="74"/>
      <x:c r="D71" s="74"/>
      <x:c r="E71" s="74"/>
      <x:c r="F71" s="74"/>
      <x:c r="G71" s="74"/>
      <x:c r="H71" s="74"/>
      <x:c r="I71" s="74"/>
      <x:c r="J71" s="74"/>
      <x:c r="K71" s="74"/>
      <x:c r="L71" s="74"/>
      <x:c r="M71" s="74"/>
      <x:c r="N71" s="74"/>
      <x:c r="O71" s="74"/>
      <x:c r="P71" s="74"/>
      <x:c r="Q71" s="74"/>
      <x:c r="R71" s="74"/>
      <x:c r="S71" s="74"/>
      <x:c r="T71" s="74"/>
      <x:c r="U71" s="74"/>
      <x:c r="V71" s="74"/>
    </x:row>
    <x:row r="72">
      <x:c r="A72" s="74"/>
      <x:c r="B72" s="74"/>
      <x:c r="C72" s="74"/>
      <x:c r="D72" s="74"/>
      <x:c r="E72" s="74"/>
      <x:c r="F72" s="74"/>
      <x:c r="G72" s="74"/>
      <x:c r="H72" s="74"/>
      <x:c r="I72" s="74"/>
      <x:c r="J72" s="74"/>
      <x:c r="K72" s="74"/>
      <x:c r="L72" s="74"/>
      <x:c r="M72" s="74"/>
      <x:c r="N72" s="74"/>
      <x:c r="O72" s="74"/>
      <x:c r="P72" s="74"/>
      <x:c r="Q72" s="74"/>
      <x:c r="R72" s="74"/>
      <x:c r="S72" s="74"/>
      <x:c r="T72" s="74"/>
      <x:c r="U72" s="74"/>
      <x:c r="V72" s="74"/>
    </x:row>
    <x:row r="73">
      <x:c r="A73" s="74"/>
      <x:c r="B73" s="74"/>
      <x:c r="C73" s="74"/>
      <x:c r="D73" s="74"/>
      <x:c r="E73" s="74"/>
      <x:c r="F73" s="74"/>
      <x:c r="G73" s="74"/>
      <x:c r="H73" s="74"/>
      <x:c r="I73" s="74"/>
      <x:c r="J73" s="74"/>
      <x:c r="K73" s="74"/>
      <x:c r="L73" s="74"/>
      <x:c r="M73" s="74"/>
      <x:c r="N73" s="74"/>
      <x:c r="O73" s="74"/>
      <x:c r="P73" s="74"/>
      <x:c r="Q73" s="74"/>
      <x:c r="R73" s="74"/>
      <x:c r="S73" s="74"/>
      <x:c r="T73" s="74"/>
      <x:c r="U73" s="74"/>
      <x:c r="V73" s="74"/>
    </x:row>
    <x:row r="74">
      <x:c r="A74" s="74"/>
      <x:c r="B74" s="74"/>
      <x:c r="C74" s="74"/>
      <x:c r="D74" s="74"/>
      <x:c r="E74" s="74"/>
      <x:c r="F74" s="74"/>
      <x:c r="G74" s="74"/>
      <x:c r="H74" s="74"/>
      <x:c r="I74" s="74"/>
      <x:c r="J74" s="74"/>
      <x:c r="K74" s="74"/>
      <x:c r="L74" s="74"/>
      <x:c r="M74" s="74"/>
      <x:c r="N74" s="74"/>
      <x:c r="O74" s="74"/>
      <x:c r="P74" s="74"/>
      <x:c r="Q74" s="74"/>
      <x:c r="R74" s="74"/>
      <x:c r="S74" s="74"/>
      <x:c r="T74" s="74"/>
      <x:c r="U74" s="74"/>
      <x:c r="V74" s="74"/>
    </x:row>
    <x:row r="75">
      <x:c r="A75" s="74"/>
      <x:c r="B75" s="74"/>
      <x:c r="C75" s="74"/>
      <x:c r="D75" s="74"/>
      <x:c r="E75" s="74"/>
      <x:c r="F75" s="74"/>
      <x:c r="G75" s="74"/>
      <x:c r="H75" s="74"/>
      <x:c r="I75" s="74"/>
      <x:c r="J75" s="74"/>
      <x:c r="K75" s="74"/>
      <x:c r="L75" s="74"/>
      <x:c r="M75" s="74"/>
      <x:c r="N75" s="74"/>
      <x:c r="O75" s="74"/>
      <x:c r="P75" s="74"/>
      <x:c r="Q75" s="74"/>
      <x:c r="R75" s="74"/>
      <x:c r="S75" s="74"/>
      <x:c r="T75" s="74"/>
      <x:c r="U75" s="74"/>
      <x:c r="V75" s="74"/>
    </x:row>
    <x:row r="76">
      <x:c r="A76" s="74"/>
      <x:c r="B76" s="74"/>
      <x:c r="C76" s="74"/>
      <x:c r="D76" s="74"/>
      <x:c r="E76" s="74"/>
      <x:c r="F76" s="74"/>
      <x:c r="G76" s="74"/>
      <x:c r="H76" s="74"/>
      <x:c r="I76" s="74"/>
      <x:c r="J76" s="74"/>
      <x:c r="K76" s="74"/>
      <x:c r="L76" s="74"/>
      <x:c r="M76" s="74"/>
      <x:c r="N76" s="74"/>
      <x:c r="O76" s="74"/>
      <x:c r="P76" s="74"/>
      <x:c r="Q76" s="74"/>
      <x:c r="R76" s="74"/>
      <x:c r="S76" s="74"/>
      <x:c r="T76" s="74"/>
      <x:c r="U76" s="74"/>
      <x:c r="V76" s="74"/>
    </x:row>
    <x:row r="77">
      <x:c r="A77" s="74"/>
      <x:c r="B77" s="74"/>
      <x:c r="C77" s="74"/>
      <x:c r="D77" s="74"/>
      <x:c r="E77" s="74"/>
      <x:c r="F77" s="74"/>
      <x:c r="G77" s="74"/>
      <x:c r="H77" s="74"/>
      <x:c r="I77" s="74"/>
      <x:c r="J77" s="74"/>
      <x:c r="K77" s="74"/>
      <x:c r="L77" s="74"/>
      <x:c r="M77" s="74"/>
      <x:c r="N77" s="74"/>
      <x:c r="O77" s="74"/>
      <x:c r="P77" s="74"/>
      <x:c r="Q77" s="74"/>
      <x:c r="R77" s="74"/>
      <x:c r="S77" s="74"/>
      <x:c r="T77" s="74"/>
      <x:c r="U77" s="74"/>
      <x:c r="V77" s="74"/>
    </x:row>
    <x:row r="78">
      <x:c r="A78" s="74"/>
      <x:c r="B78" s="74"/>
      <x:c r="C78" s="74"/>
      <x:c r="D78" s="74"/>
      <x:c r="E78" s="74"/>
      <x:c r="F78" s="74"/>
      <x:c r="G78" s="74"/>
      <x:c r="H78" s="74"/>
      <x:c r="I78" s="74"/>
      <x:c r="J78" s="74"/>
      <x:c r="K78" s="74"/>
      <x:c r="L78" s="74"/>
      <x:c r="M78" s="74"/>
      <x:c r="N78" s="74"/>
      <x:c r="O78" s="74"/>
      <x:c r="P78" s="74"/>
      <x:c r="Q78" s="74"/>
      <x:c r="R78" s="74"/>
      <x:c r="S78" s="74"/>
      <x:c r="T78" s="74"/>
      <x:c r="U78" s="74"/>
      <x:c r="V78" s="74"/>
    </x:row>
    <x:row r="79">
      <x:c r="A79" s="74"/>
      <x:c r="B79" s="74"/>
      <x:c r="C79" s="74"/>
      <x:c r="D79" s="74"/>
      <x:c r="E79" s="74"/>
      <x:c r="F79" s="74"/>
      <x:c r="G79" s="74"/>
      <x:c r="H79" s="74"/>
      <x:c r="I79" s="74"/>
      <x:c r="J79" s="74"/>
      <x:c r="K79" s="74"/>
      <x:c r="L79" s="74"/>
      <x:c r="M79" s="74"/>
      <x:c r="N79" s="74"/>
      <x:c r="O79" s="74"/>
      <x:c r="P79" s="74"/>
      <x:c r="Q79" s="74"/>
      <x:c r="R79" s="74"/>
      <x:c r="S79" s="74"/>
      <x:c r="T79" s="74"/>
      <x:c r="U79" s="74"/>
      <x:c r="V79" s="74"/>
    </x:row>
    <x:row r="80">
      <x:c r="A80" s="74"/>
      <x:c r="B80" s="74"/>
      <x:c r="C80" s="74"/>
      <x:c r="D80" s="74"/>
      <x:c r="E80" s="74"/>
      <x:c r="F80" s="74"/>
      <x:c r="G80" s="74"/>
      <x:c r="H80" s="74"/>
      <x:c r="I80" s="74"/>
      <x:c r="J80" s="74"/>
      <x:c r="K80" s="74"/>
      <x:c r="L80" s="74"/>
      <x:c r="M80" s="74"/>
      <x:c r="N80" s="74"/>
      <x:c r="O80" s="74"/>
      <x:c r="P80" s="74"/>
      <x:c r="Q80" s="74"/>
      <x:c r="R80" s="74"/>
      <x:c r="S80" s="74"/>
      <x:c r="T80" s="74"/>
      <x:c r="U80" s="74"/>
      <x:c r="V80" s="74"/>
    </x:row>
    <x:row r="81">
      <x:c r="A81" s="74"/>
      <x:c r="B81" s="74"/>
      <x:c r="C81" s="74"/>
      <x:c r="D81" s="74"/>
      <x:c r="E81" s="74"/>
      <x:c r="F81" s="74"/>
      <x:c r="G81" s="74"/>
      <x:c r="H81" s="74"/>
      <x:c r="I81" s="74"/>
      <x:c r="J81" s="74"/>
      <x:c r="K81" s="74"/>
      <x:c r="L81" s="74"/>
      <x:c r="M81" s="74"/>
      <x:c r="N81" s="74"/>
      <x:c r="O81" s="74"/>
      <x:c r="P81" s="74"/>
      <x:c r="Q81" s="74"/>
      <x:c r="R81" s="74"/>
      <x:c r="S81" s="74"/>
      <x:c r="T81" s="74"/>
      <x:c r="U81" s="74"/>
      <x:c r="V81" s="74"/>
    </x:row>
    <x:row r="82">
      <x:c r="A82" s="74"/>
      <x:c r="B82" s="74"/>
      <x:c r="C82" s="74"/>
      <x:c r="D82" s="74"/>
      <x:c r="E82" s="74"/>
      <x:c r="F82" s="74"/>
      <x:c r="G82" s="74"/>
      <x:c r="H82" s="74"/>
      <x:c r="I82" s="74"/>
      <x:c r="J82" s="74"/>
      <x:c r="K82" s="74"/>
      <x:c r="L82" s="74"/>
      <x:c r="M82" s="74"/>
      <x:c r="N82" s="74"/>
      <x:c r="O82" s="74"/>
      <x:c r="P82" s="74"/>
      <x:c r="Q82" s="74"/>
      <x:c r="R82" s="74"/>
      <x:c r="S82" s="74"/>
      <x:c r="T82" s="74"/>
      <x:c r="U82" s="74"/>
      <x:c r="V82" s="74"/>
    </x:row>
    <x:row r="83">
      <x:c r="A83" s="74"/>
      <x:c r="B83" s="74"/>
      <x:c r="C83" s="74"/>
      <x:c r="D83" s="74"/>
      <x:c r="E83" s="74"/>
      <x:c r="F83" s="74"/>
      <x:c r="G83" s="74"/>
      <x:c r="H83" s="74"/>
      <x:c r="I83" s="74"/>
      <x:c r="J83" s="74"/>
      <x:c r="K83" s="74"/>
      <x:c r="L83" s="74"/>
      <x:c r="M83" s="74"/>
      <x:c r="N83" s="74"/>
      <x:c r="O83" s="74"/>
      <x:c r="P83" s="74"/>
      <x:c r="Q83" s="74"/>
      <x:c r="R83" s="74"/>
      <x:c r="S83" s="74"/>
      <x:c r="T83" s="74"/>
      <x:c r="U83" s="74"/>
      <x:c r="V83" s="74"/>
    </x:row>
    <x:row r="84">
      <x:c r="A84" s="74"/>
      <x:c r="B84" s="74"/>
      <x:c r="C84" s="74"/>
      <x:c r="D84" s="74"/>
      <x:c r="E84" s="74"/>
      <x:c r="F84" s="74"/>
      <x:c r="G84" s="74"/>
      <x:c r="H84" s="74"/>
      <x:c r="I84" s="74"/>
      <x:c r="J84" s="74"/>
      <x:c r="K84" s="74"/>
      <x:c r="L84" s="74"/>
      <x:c r="M84" s="74"/>
      <x:c r="N84" s="74"/>
      <x:c r="O84" s="74"/>
      <x:c r="P84" s="74"/>
      <x:c r="Q84" s="74"/>
      <x:c r="R84" s="74"/>
      <x:c r="S84" s="74"/>
      <x:c r="T84" s="74"/>
      <x:c r="U84" s="74"/>
      <x:c r="V84" s="74"/>
    </x:row>
    <x:row r="85">
      <x:c r="A85" s="74"/>
      <x:c r="B85" s="74"/>
      <x:c r="C85" s="74"/>
      <x:c r="D85" s="74"/>
      <x:c r="E85" s="74"/>
      <x:c r="F85" s="74"/>
      <x:c r="G85" s="74"/>
      <x:c r="H85" s="74"/>
      <x:c r="I85" s="74"/>
      <x:c r="J85" s="74"/>
      <x:c r="K85" s="74"/>
      <x:c r="L85" s="74"/>
      <x:c r="M85" s="74"/>
      <x:c r="N85" s="74"/>
      <x:c r="O85" s="74"/>
      <x:c r="P85" s="74"/>
      <x:c r="Q85" s="74"/>
      <x:c r="R85" s="74"/>
      <x:c r="S85" s="74"/>
      <x:c r="T85" s="74"/>
      <x:c r="U85" s="74"/>
      <x:c r="V85" s="74"/>
    </x:row>
    <x:row r="86">
      <x:c r="A86" s="74"/>
      <x:c r="B86" s="74"/>
      <x:c r="C86" s="74"/>
      <x:c r="D86" s="74"/>
      <x:c r="E86" s="74"/>
      <x:c r="F86" s="74"/>
      <x:c r="G86" s="74"/>
      <x:c r="H86" s="74"/>
      <x:c r="I86" s="74"/>
      <x:c r="J86" s="74"/>
      <x:c r="K86" s="74"/>
      <x:c r="L86" s="74"/>
      <x:c r="M86" s="74"/>
      <x:c r="N86" s="74"/>
      <x:c r="O86" s="74"/>
      <x:c r="P86" s="74"/>
      <x:c r="Q86" s="74"/>
      <x:c r="R86" s="74"/>
      <x:c r="S86" s="74"/>
      <x:c r="T86" s="74"/>
      <x:c r="U86" s="74"/>
      <x:c r="V86" s="74"/>
    </x:row>
    <x:row r="87">
      <x:c r="A87" s="74"/>
      <x:c r="B87" s="74"/>
      <x:c r="C87" s="74"/>
      <x:c r="D87" s="74"/>
      <x:c r="E87" s="74"/>
      <x:c r="F87" s="74"/>
      <x:c r="G87" s="74"/>
      <x:c r="H87" s="74"/>
      <x:c r="I87" s="74"/>
      <x:c r="J87" s="74"/>
      <x:c r="K87" s="74"/>
      <x:c r="L87" s="74"/>
      <x:c r="M87" s="74"/>
      <x:c r="N87" s="74"/>
      <x:c r="O87" s="74"/>
      <x:c r="P87" s="74"/>
      <x:c r="Q87" s="74"/>
      <x:c r="R87" s="74"/>
      <x:c r="S87" s="74"/>
      <x:c r="T87" s="74"/>
      <x:c r="U87" s="74"/>
      <x:c r="V87" s="74"/>
    </x:row>
    <x:row r="88">
      <x:c r="A88" s="74"/>
      <x:c r="B88" s="74"/>
      <x:c r="C88" s="74"/>
      <x:c r="D88" s="74"/>
      <x:c r="E88" s="74"/>
      <x:c r="F88" s="74"/>
      <x:c r="G88" s="74"/>
      <x:c r="H88" s="74"/>
      <x:c r="I88" s="74"/>
      <x:c r="J88" s="74"/>
      <x:c r="K88" s="74"/>
      <x:c r="L88" s="74"/>
      <x:c r="M88" s="74"/>
      <x:c r="N88" s="74"/>
      <x:c r="O88" s="74"/>
      <x:c r="P88" s="74"/>
      <x:c r="Q88" s="74"/>
      <x:c r="R88" s="74"/>
      <x:c r="S88" s="74"/>
      <x:c r="T88" s="74"/>
      <x:c r="U88" s="74"/>
      <x:c r="V88" s="74"/>
    </x:row>
    <x:row r="89">
      <x:c r="A89" s="74"/>
      <x:c r="B89" s="74"/>
      <x:c r="C89" s="74"/>
      <x:c r="D89" s="74"/>
      <x:c r="E89" s="74"/>
      <x:c r="F89" s="74"/>
      <x:c r="G89" s="74"/>
      <x:c r="H89" s="74"/>
      <x:c r="I89" s="74"/>
      <x:c r="J89" s="74"/>
      <x:c r="K89" s="74"/>
      <x:c r="L89" s="74"/>
      <x:c r="M89" s="74"/>
      <x:c r="N89" s="74"/>
      <x:c r="O89" s="74"/>
      <x:c r="P89" s="74"/>
      <x:c r="Q89" s="74"/>
      <x:c r="R89" s="74"/>
      <x:c r="S89" s="74"/>
      <x:c r="T89" s="74"/>
      <x:c r="U89" s="74"/>
      <x:c r="V89" s="74"/>
    </x:row>
    <x:row r="90">
      <x:c r="A90" s="74"/>
      <x:c r="B90" s="74"/>
      <x:c r="C90" s="74"/>
      <x:c r="D90" s="74"/>
      <x:c r="E90" s="74"/>
      <x:c r="F90" s="74"/>
      <x:c r="G90" s="74"/>
      <x:c r="H90" s="74"/>
      <x:c r="I90" s="74"/>
      <x:c r="J90" s="74"/>
      <x:c r="K90" s="74"/>
      <x:c r="L90" s="74"/>
      <x:c r="M90" s="74"/>
      <x:c r="N90" s="74"/>
      <x:c r="O90" s="74"/>
      <x:c r="P90" s="74"/>
      <x:c r="Q90" s="74"/>
      <x:c r="R90" s="74"/>
      <x:c r="S90" s="74"/>
      <x:c r="T90" s="74"/>
      <x:c r="U90" s="74"/>
      <x:c r="V90" s="74"/>
    </x:row>
    <x:row r="91">
      <x:c r="A91" s="74"/>
      <x:c r="B91" s="74"/>
      <x:c r="C91" s="74"/>
      <x:c r="D91" s="74"/>
      <x:c r="E91" s="74"/>
      <x:c r="F91" s="74"/>
      <x:c r="G91" s="74"/>
      <x:c r="H91" s="74"/>
      <x:c r="I91" s="74"/>
      <x:c r="J91" s="74"/>
      <x:c r="K91" s="74"/>
      <x:c r="L91" s="74"/>
      <x:c r="M91" s="74"/>
      <x:c r="N91" s="74"/>
      <x:c r="O91" s="74"/>
      <x:c r="P91" s="74"/>
      <x:c r="Q91" s="74"/>
      <x:c r="R91" s="74"/>
      <x:c r="S91" s="74"/>
      <x:c r="T91" s="74"/>
      <x:c r="U91" s="74"/>
      <x:c r="V91" s="74"/>
    </x:row>
    <x:row r="92">
      <x:c r="A92" s="74"/>
      <x:c r="B92" s="74"/>
      <x:c r="C92" s="74"/>
      <x:c r="D92" s="74"/>
      <x:c r="E92" s="74"/>
      <x:c r="F92" s="74"/>
      <x:c r="G92" s="74"/>
      <x:c r="H92" s="74"/>
      <x:c r="I92" s="74"/>
      <x:c r="J92" s="74"/>
      <x:c r="K92" s="74"/>
      <x:c r="L92" s="74"/>
      <x:c r="M92" s="74"/>
      <x:c r="N92" s="74"/>
      <x:c r="O92" s="74"/>
      <x:c r="P92" s="74"/>
      <x:c r="Q92" s="74"/>
      <x:c r="R92" s="74"/>
      <x:c r="S92" s="74"/>
      <x:c r="T92" s="74"/>
      <x:c r="U92" s="74"/>
      <x:c r="V92" s="74"/>
    </x:row>
    <x:row r="93">
      <x:c r="A93" s="74"/>
      <x:c r="B93" s="74"/>
      <x:c r="C93" s="74"/>
      <x:c r="D93" s="74"/>
      <x:c r="E93" s="74"/>
      <x:c r="F93" s="74"/>
      <x:c r="G93" s="74"/>
      <x:c r="H93" s="74"/>
      <x:c r="I93" s="74"/>
      <x:c r="J93" s="74"/>
      <x:c r="K93" s="74"/>
      <x:c r="L93" s="74"/>
      <x:c r="M93" s="74"/>
      <x:c r="N93" s="74"/>
      <x:c r="O93" s="74"/>
      <x:c r="P93" s="74"/>
      <x:c r="Q93" s="74"/>
      <x:c r="R93" s="74"/>
      <x:c r="S93" s="74"/>
      <x:c r="T93" s="74"/>
      <x:c r="U93" s="74"/>
      <x:c r="V93" s="74"/>
    </x:row>
    <x:row r="94">
      <x:c r="A94" s="74"/>
      <x:c r="B94" s="74"/>
      <x:c r="C94" s="74"/>
      <x:c r="D94" s="74"/>
      <x:c r="E94" s="74"/>
      <x:c r="F94" s="74"/>
      <x:c r="G94" s="74"/>
      <x:c r="H94" s="74"/>
      <x:c r="I94" s="74"/>
      <x:c r="J94" s="74"/>
      <x:c r="K94" s="74"/>
      <x:c r="L94" s="74"/>
      <x:c r="M94" s="74"/>
      <x:c r="N94" s="74"/>
      <x:c r="O94" s="74"/>
      <x:c r="P94" s="74"/>
      <x:c r="Q94" s="74"/>
      <x:c r="R94" s="74"/>
      <x:c r="S94" s="74"/>
      <x:c r="T94" s="74"/>
      <x:c r="U94" s="74"/>
      <x:c r="V94" s="74"/>
    </x:row>
    <x:row r="95">
      <x:c r="A95" s="74"/>
      <x:c r="B95" s="74"/>
      <x:c r="C95" s="74"/>
      <x:c r="D95" s="74"/>
      <x:c r="E95" s="74"/>
      <x:c r="F95" s="74"/>
      <x:c r="G95" s="74"/>
      <x:c r="H95" s="74"/>
      <x:c r="I95" s="74"/>
      <x:c r="J95" s="74"/>
      <x:c r="K95" s="74"/>
      <x:c r="L95" s="74"/>
      <x:c r="M95" s="74"/>
      <x:c r="N95" s="74"/>
      <x:c r="O95" s="74"/>
      <x:c r="P95" s="74"/>
      <x:c r="Q95" s="74"/>
      <x:c r="R95" s="74"/>
      <x:c r="S95" s="74"/>
      <x:c r="T95" s="74"/>
      <x:c r="U95" s="74"/>
      <x:c r="V95" s="74"/>
    </x:row>
    <x:row r="96">
      <x:c r="A96" s="74"/>
      <x:c r="B96" s="74"/>
      <x:c r="C96" s="74"/>
      <x:c r="D96" s="74"/>
      <x:c r="E96" s="74"/>
      <x:c r="F96" s="74"/>
      <x:c r="G96" s="74"/>
      <x:c r="H96" s="74"/>
      <x:c r="I96" s="74"/>
      <x:c r="J96" s="74"/>
      <x:c r="K96" s="74"/>
      <x:c r="L96" s="74"/>
      <x:c r="M96" s="74"/>
      <x:c r="N96" s="74"/>
      <x:c r="O96" s="74"/>
      <x:c r="P96" s="74"/>
      <x:c r="Q96" s="74"/>
      <x:c r="R96" s="74"/>
      <x:c r="S96" s="74"/>
      <x:c r="T96" s="74"/>
      <x:c r="U96" s="74"/>
      <x:c r="V96" s="74"/>
    </x:row>
    <x:row r="97">
      <x:c r="A97" s="74"/>
      <x:c r="B97" s="74"/>
      <x:c r="C97" s="74"/>
      <x:c r="D97" s="74"/>
      <x:c r="E97" s="74"/>
      <x:c r="F97" s="74"/>
      <x:c r="G97" s="74"/>
      <x:c r="H97" s="74"/>
      <x:c r="I97" s="74"/>
      <x:c r="J97" s="74"/>
      <x:c r="K97" s="74"/>
      <x:c r="L97" s="74"/>
      <x:c r="M97" s="74"/>
      <x:c r="N97" s="74"/>
      <x:c r="O97" s="74"/>
      <x:c r="P97" s="74"/>
      <x:c r="Q97" s="74"/>
      <x:c r="R97" s="74"/>
      <x:c r="S97" s="74"/>
      <x:c r="T97" s="74"/>
      <x:c r="U97" s="74"/>
      <x:c r="V97" s="74"/>
    </x:row>
    <x:row r="98">
      <x:c r="A98" s="74"/>
      <x:c r="B98" s="74"/>
      <x:c r="C98" s="74"/>
      <x:c r="D98" s="74"/>
      <x:c r="E98" s="74"/>
      <x:c r="F98" s="74"/>
      <x:c r="G98" s="74"/>
      <x:c r="H98" s="74"/>
      <x:c r="I98" s="74"/>
      <x:c r="J98" s="74"/>
      <x:c r="K98" s="74"/>
      <x:c r="L98" s="74"/>
      <x:c r="M98" s="74"/>
      <x:c r="N98" s="74"/>
      <x:c r="O98" s="74"/>
      <x:c r="P98" s="74"/>
      <x:c r="Q98" s="74"/>
      <x:c r="R98" s="74"/>
      <x:c r="S98" s="74"/>
      <x:c r="T98" s="74"/>
      <x:c r="U98" s="74"/>
      <x:c r="V98" s="74"/>
    </x:row>
    <x:row r="99">
      <x:c r="A99" s="74"/>
      <x:c r="B99" s="74"/>
      <x:c r="C99" s="74"/>
      <x:c r="D99" s="74"/>
      <x:c r="E99" s="74"/>
      <x:c r="F99" s="74"/>
      <x:c r="G99" s="74"/>
      <x:c r="H99" s="74"/>
      <x:c r="I99" s="74"/>
      <x:c r="J99" s="74"/>
      <x:c r="K99" s="74"/>
      <x:c r="L99" s="74"/>
      <x:c r="M99" s="74"/>
      <x:c r="N99" s="74"/>
      <x:c r="O99" s="74"/>
      <x:c r="P99" s="74"/>
      <x:c r="Q99" s="74"/>
      <x:c r="R99" s="74"/>
      <x:c r="S99" s="74"/>
      <x:c r="T99" s="74"/>
      <x:c r="U99" s="74"/>
      <x:c r="V99" s="74"/>
    </x:row>
    <x:row r="100">
      <x:c r="A100" s="74"/>
      <x:c r="B100" s="74"/>
      <x:c r="C100" s="74"/>
      <x:c r="D100" s="74"/>
      <x:c r="E100" s="74"/>
      <x:c r="F100" s="74"/>
      <x:c r="G100" s="74"/>
      <x:c r="H100" s="74"/>
      <x:c r="I100" s="74"/>
      <x:c r="J100" s="74"/>
      <x:c r="K100" s="74"/>
      <x:c r="L100" s="74"/>
      <x:c r="M100" s="74"/>
      <x:c r="N100" s="74"/>
      <x:c r="O100" s="74"/>
      <x:c r="P100" s="74"/>
      <x:c r="Q100" s="74"/>
      <x:c r="R100" s="74"/>
      <x:c r="S100" s="74"/>
      <x:c r="T100" s="74"/>
      <x:c r="U100" s="74"/>
      <x:c r="V100" s="74"/>
    </x:row>
    <x:row r="101">
      <x:c r="A101" s="74"/>
      <x:c r="B101" s="74"/>
      <x:c r="C101" s="74"/>
      <x:c r="D101" s="74"/>
      <x:c r="E101" s="74"/>
      <x:c r="F101" s="74"/>
      <x:c r="G101" s="74"/>
      <x:c r="H101" s="74"/>
      <x:c r="I101" s="74"/>
      <x:c r="J101" s="74"/>
      <x:c r="K101" s="74"/>
      <x:c r="L101" s="74"/>
      <x:c r="M101" s="74"/>
      <x:c r="N101" s="74"/>
      <x:c r="O101" s="74"/>
      <x:c r="P101" s="74"/>
      <x:c r="Q101" s="74"/>
      <x:c r="R101" s="74"/>
      <x:c r="S101" s="74"/>
      <x:c r="T101" s="74"/>
      <x:c r="U101" s="74"/>
      <x:c r="V101" s="74"/>
    </x:row>
    <x:row r="102">
      <x:c r="A102" s="74"/>
      <x:c r="B102" s="74"/>
      <x:c r="C102" s="74"/>
      <x:c r="D102" s="74"/>
      <x:c r="E102" s="74"/>
      <x:c r="F102" s="74"/>
      <x:c r="G102" s="74"/>
      <x:c r="H102" s="74"/>
      <x:c r="I102" s="74"/>
      <x:c r="J102" s="74"/>
      <x:c r="K102" s="74"/>
      <x:c r="L102" s="74"/>
      <x:c r="M102" s="74"/>
      <x:c r="N102" s="74"/>
      <x:c r="O102" s="74"/>
      <x:c r="P102" s="74"/>
      <x:c r="Q102" s="74"/>
      <x:c r="R102" s="74"/>
      <x:c r="S102" s="74"/>
      <x:c r="T102" s="74"/>
      <x:c r="U102" s="74"/>
      <x:c r="V102" s="74"/>
    </x:row>
    <x:row r="103">
      <x:c r="A103" s="74"/>
      <x:c r="B103" s="74"/>
      <x:c r="C103" s="74"/>
      <x:c r="D103" s="74"/>
      <x:c r="E103" s="74"/>
      <x:c r="F103" s="74"/>
      <x:c r="G103" s="74"/>
      <x:c r="H103" s="74"/>
      <x:c r="I103" s="74"/>
      <x:c r="J103" s="74"/>
      <x:c r="K103" s="74"/>
      <x:c r="L103" s="74"/>
      <x:c r="M103" s="74"/>
      <x:c r="N103" s="74"/>
      <x:c r="O103" s="74"/>
      <x:c r="P103" s="74"/>
      <x:c r="Q103" s="74"/>
      <x:c r="R103" s="74"/>
      <x:c r="S103" s="74"/>
      <x:c r="T103" s="74"/>
      <x:c r="U103" s="74"/>
      <x:c r="V103" s="74"/>
    </x:row>
    <x:row r="104">
      <x:c r="A104" s="74"/>
      <x:c r="B104" s="74"/>
      <x:c r="C104" s="74"/>
      <x:c r="D104" s="74"/>
      <x:c r="E104" s="74"/>
      <x:c r="F104" s="74"/>
      <x:c r="G104" s="74"/>
      <x:c r="H104" s="74"/>
      <x:c r="I104" s="74"/>
      <x:c r="J104" s="74"/>
      <x:c r="K104" s="74"/>
      <x:c r="L104" s="74"/>
      <x:c r="M104" s="74"/>
      <x:c r="N104" s="74"/>
      <x:c r="O104" s="74"/>
      <x:c r="P104" s="74"/>
      <x:c r="Q104" s="74"/>
      <x:c r="R104" s="74"/>
      <x:c r="S104" s="74"/>
      <x:c r="T104" s="74"/>
      <x:c r="U104" s="74"/>
      <x:c r="V104" s="74"/>
    </x:row>
    <x:row r="105">
      <x:c r="A105" s="74"/>
      <x:c r="B105" s="74"/>
      <x:c r="C105" s="74"/>
      <x:c r="D105" s="74"/>
      <x:c r="E105" s="74"/>
      <x:c r="F105" s="74"/>
      <x:c r="G105" s="74"/>
      <x:c r="H105" s="74"/>
      <x:c r="I105" s="74"/>
      <x:c r="J105" s="74"/>
      <x:c r="K105" s="74"/>
      <x:c r="L105" s="74"/>
      <x:c r="M105" s="74"/>
      <x:c r="N105" s="74"/>
      <x:c r="O105" s="74"/>
      <x:c r="P105" s="74"/>
      <x:c r="Q105" s="74"/>
      <x:c r="R105" s="74"/>
      <x:c r="S105" s="74"/>
      <x:c r="T105" s="74"/>
      <x:c r="U105" s="74"/>
      <x:c r="V105" s="74"/>
    </x:row>
    <x:row r="106">
      <x:c r="A106" s="74"/>
      <x:c r="B106" s="74"/>
      <x:c r="C106" s="74"/>
      <x:c r="D106" s="74"/>
      <x:c r="E106" s="74"/>
      <x:c r="F106" s="74"/>
      <x:c r="G106" s="74"/>
      <x:c r="H106" s="74"/>
      <x:c r="I106" s="74"/>
      <x:c r="J106" s="74"/>
      <x:c r="K106" s="74"/>
      <x:c r="L106" s="74"/>
      <x:c r="M106" s="74"/>
      <x:c r="N106" s="74"/>
      <x:c r="O106" s="74"/>
      <x:c r="P106" s="74"/>
      <x:c r="Q106" s="74"/>
      <x:c r="R106" s="74"/>
      <x:c r="S106" s="74"/>
      <x:c r="T106" s="74"/>
      <x:c r="U106" s="74"/>
      <x:c r="V106" s="74"/>
    </x:row>
    <x:row r="107">
      <x:c r="A107" s="74"/>
      <x:c r="B107" s="74"/>
      <x:c r="C107" s="74"/>
      <x:c r="D107" s="74"/>
      <x:c r="E107" s="74"/>
      <x:c r="F107" s="74"/>
      <x:c r="G107" s="74"/>
      <x:c r="H107" s="74"/>
      <x:c r="I107" s="74"/>
      <x:c r="J107" s="74"/>
      <x:c r="K107" s="74"/>
      <x:c r="L107" s="74"/>
      <x:c r="M107" s="74"/>
      <x:c r="N107" s="74"/>
      <x:c r="O107" s="74"/>
      <x:c r="P107" s="74"/>
      <x:c r="Q107" s="74"/>
      <x:c r="R107" s="74"/>
      <x:c r="S107" s="74"/>
      <x:c r="T107" s="74"/>
      <x:c r="U107" s="74"/>
      <x:c r="V107" s="74"/>
    </x:row>
    <x:row r="108">
      <x:c r="A108" s="74"/>
      <x:c r="B108" s="74"/>
      <x:c r="C108" s="74"/>
      <x:c r="D108" s="74"/>
      <x:c r="E108" s="74"/>
      <x:c r="F108" s="74"/>
      <x:c r="G108" s="74"/>
      <x:c r="H108" s="74"/>
      <x:c r="I108" s="74"/>
      <x:c r="J108" s="74"/>
      <x:c r="K108" s="74"/>
      <x:c r="L108" s="74"/>
      <x:c r="M108" s="74"/>
      <x:c r="N108" s="74"/>
      <x:c r="O108" s="74"/>
      <x:c r="P108" s="74"/>
      <x:c r="Q108" s="74"/>
      <x:c r="R108" s="74"/>
      <x:c r="S108" s="74"/>
      <x:c r="T108" s="74"/>
      <x:c r="U108" s="74"/>
      <x:c r="V108" s="74"/>
    </x:row>
    <x:row r="109">
      <x:c r="A109" s="74"/>
      <x:c r="B109" s="74"/>
      <x:c r="C109" s="74"/>
      <x:c r="D109" s="74"/>
      <x:c r="E109" s="74"/>
      <x:c r="F109" s="74"/>
      <x:c r="G109" s="74"/>
      <x:c r="H109" s="74"/>
      <x:c r="I109" s="74"/>
      <x:c r="J109" s="74"/>
      <x:c r="K109" s="74"/>
      <x:c r="L109" s="74"/>
      <x:c r="M109" s="74"/>
      <x:c r="N109" s="74"/>
      <x:c r="O109" s="74"/>
      <x:c r="P109" s="74"/>
      <x:c r="Q109" s="74"/>
      <x:c r="R109" s="74"/>
      <x:c r="S109" s="74"/>
      <x:c r="T109" s="74"/>
      <x:c r="U109" s="74"/>
      <x:c r="V109" s="74"/>
    </x:row>
    <x:row r="110">
      <x:c r="A110" s="74"/>
      <x:c r="B110" s="74"/>
      <x:c r="C110" s="74"/>
      <x:c r="D110" s="74"/>
      <x:c r="E110" s="74"/>
      <x:c r="F110" s="74"/>
      <x:c r="G110" s="74"/>
      <x:c r="H110" s="74"/>
      <x:c r="I110" s="74"/>
      <x:c r="J110" s="74"/>
      <x:c r="K110" s="74"/>
      <x:c r="L110" s="74"/>
      <x:c r="M110" s="74"/>
      <x:c r="N110" s="74"/>
      <x:c r="O110" s="74"/>
      <x:c r="P110" s="74"/>
      <x:c r="Q110" s="74"/>
      <x:c r="R110" s="74"/>
      <x:c r="S110" s="74"/>
      <x:c r="T110" s="74"/>
      <x:c r="U110" s="74"/>
      <x:c r="V110" s="74"/>
    </x:row>
    <x:row r="111">
      <x:c r="A111" s="74"/>
      <x:c r="B111" s="74"/>
      <x:c r="C111" s="74"/>
      <x:c r="D111" s="74"/>
      <x:c r="E111" s="74"/>
      <x:c r="F111" s="74"/>
      <x:c r="G111" s="74"/>
      <x:c r="H111" s="74"/>
      <x:c r="I111" s="74"/>
      <x:c r="J111" s="74"/>
      <x:c r="K111" s="74"/>
      <x:c r="L111" s="74"/>
      <x:c r="M111" s="74"/>
      <x:c r="N111" s="74"/>
      <x:c r="O111" s="74"/>
      <x:c r="P111" s="74"/>
      <x:c r="Q111" s="74"/>
      <x:c r="R111" s="74"/>
      <x:c r="S111" s="74"/>
      <x:c r="T111" s="74"/>
      <x:c r="U111" s="74"/>
      <x:c r="V111" s="74"/>
    </x:row>
    <x:row r="112">
      <x:c r="A112" s="74"/>
      <x:c r="B112" s="74"/>
      <x:c r="C112" s="74"/>
      <x:c r="D112" s="74"/>
      <x:c r="E112" s="74"/>
      <x:c r="F112" s="74"/>
      <x:c r="G112" s="74"/>
      <x:c r="H112" s="74"/>
      <x:c r="I112" s="74"/>
      <x:c r="J112" s="74"/>
      <x:c r="K112" s="74"/>
      <x:c r="L112" s="74"/>
      <x:c r="M112" s="74"/>
      <x:c r="N112" s="74"/>
      <x:c r="O112" s="74"/>
      <x:c r="P112" s="74"/>
      <x:c r="Q112" s="74"/>
      <x:c r="R112" s="74"/>
      <x:c r="S112" s="74"/>
      <x:c r="T112" s="74"/>
      <x:c r="U112" s="74"/>
      <x:c r="V112" s="74"/>
    </x:row>
    <x:row r="113">
      <x:c r="A113" s="74"/>
      <x:c r="B113" s="74"/>
      <x:c r="C113" s="74"/>
      <x:c r="D113" s="74"/>
      <x:c r="E113" s="74"/>
      <x:c r="F113" s="74"/>
      <x:c r="G113" s="74"/>
      <x:c r="H113" s="74"/>
      <x:c r="I113" s="74"/>
      <x:c r="J113" s="74"/>
      <x:c r="K113" s="74"/>
      <x:c r="L113" s="74"/>
      <x:c r="M113" s="74"/>
      <x:c r="N113" s="74"/>
      <x:c r="O113" s="74"/>
      <x:c r="P113" s="74"/>
      <x:c r="Q113" s="74"/>
      <x:c r="R113" s="74"/>
      <x:c r="S113" s="74"/>
      <x:c r="T113" s="74"/>
      <x:c r="U113" s="74"/>
      <x:c r="V113" s="74"/>
    </x:row>
    <x:row r="114">
      <x:c r="A114" s="74"/>
      <x:c r="B114" s="74"/>
      <x:c r="C114" s="74"/>
      <x:c r="D114" s="74"/>
      <x:c r="E114" s="74"/>
      <x:c r="F114" s="74"/>
      <x:c r="G114" s="74"/>
      <x:c r="H114" s="74"/>
      <x:c r="I114" s="74"/>
      <x:c r="J114" s="74"/>
      <x:c r="K114" s="74"/>
      <x:c r="L114" s="74"/>
      <x:c r="M114" s="74"/>
      <x:c r="N114" s="74"/>
      <x:c r="O114" s="74"/>
      <x:c r="P114" s="74"/>
      <x:c r="Q114" s="74"/>
      <x:c r="R114" s="74"/>
      <x:c r="S114" s="74"/>
      <x:c r="T114" s="74"/>
      <x:c r="U114" s="74"/>
      <x:c r="V114" s="74"/>
    </x:row>
    <x:row r="115">
      <x:c r="A115" s="74"/>
      <x:c r="B115" s="74"/>
      <x:c r="C115" s="74"/>
      <x:c r="D115" s="74"/>
      <x:c r="E115" s="74"/>
      <x:c r="F115" s="74"/>
      <x:c r="G115" s="74"/>
      <x:c r="H115" s="74"/>
      <x:c r="I115" s="74"/>
      <x:c r="J115" s="74"/>
      <x:c r="K115" s="74"/>
      <x:c r="L115" s="74"/>
      <x:c r="M115" s="74"/>
      <x:c r="N115" s="74"/>
      <x:c r="O115" s="74"/>
      <x:c r="P115" s="74"/>
      <x:c r="Q115" s="74"/>
      <x:c r="R115" s="74"/>
      <x:c r="S115" s="74"/>
      <x:c r="T115" s="74"/>
      <x:c r="U115" s="74"/>
      <x:c r="V115" s="74"/>
    </x:row>
    <x:row r="116">
      <x:c r="A116" s="74"/>
      <x:c r="B116" s="74"/>
      <x:c r="C116" s="74"/>
      <x:c r="D116" s="74"/>
      <x:c r="E116" s="74"/>
      <x:c r="F116" s="74"/>
      <x:c r="G116" s="74"/>
      <x:c r="H116" s="74"/>
      <x:c r="I116" s="74"/>
      <x:c r="J116" s="74"/>
      <x:c r="K116" s="74"/>
      <x:c r="L116" s="74"/>
      <x:c r="M116" s="74"/>
      <x:c r="N116" s="74"/>
      <x:c r="O116" s="74"/>
      <x:c r="P116" s="74"/>
      <x:c r="Q116" s="74"/>
      <x:c r="R116" s="74"/>
      <x:c r="S116" s="74"/>
      <x:c r="T116" s="74"/>
      <x:c r="U116" s="74"/>
      <x:c r="V116" s="74"/>
    </x:row>
    <x:row r="117">
      <x:c r="A117" s="74"/>
      <x:c r="B117" s="74"/>
      <x:c r="C117" s="74"/>
      <x:c r="D117" s="74"/>
      <x:c r="E117" s="74"/>
      <x:c r="F117" s="74"/>
      <x:c r="G117" s="74"/>
      <x:c r="H117" s="74"/>
      <x:c r="I117" s="74"/>
      <x:c r="J117" s="74"/>
      <x:c r="K117" s="74"/>
      <x:c r="L117" s="74"/>
      <x:c r="M117" s="74"/>
      <x:c r="N117" s="74"/>
      <x:c r="O117" s="74"/>
      <x:c r="P117" s="74"/>
      <x:c r="Q117" s="74"/>
      <x:c r="R117" s="74"/>
      <x:c r="S117" s="74"/>
      <x:c r="T117" s="74"/>
      <x:c r="U117" s="74"/>
      <x:c r="V117" s="74"/>
    </x:row>
    <x:row r="118">
      <x:c r="A118" s="74"/>
      <x:c r="B118" s="74"/>
      <x:c r="C118" s="74"/>
      <x:c r="D118" s="74"/>
      <x:c r="E118" s="74"/>
      <x:c r="F118" s="74"/>
      <x:c r="G118" s="74"/>
      <x:c r="H118" s="74"/>
      <x:c r="I118" s="74"/>
      <x:c r="J118" s="74"/>
      <x:c r="K118" s="74"/>
      <x:c r="L118" s="74"/>
      <x:c r="M118" s="74"/>
      <x:c r="N118" s="74"/>
      <x:c r="O118" s="74"/>
      <x:c r="P118" s="74"/>
      <x:c r="Q118" s="74"/>
      <x:c r="R118" s="74"/>
      <x:c r="S118" s="74"/>
      <x:c r="T118" s="74"/>
      <x:c r="U118" s="74"/>
      <x:c r="V118" s="74"/>
    </x:row>
    <x:row r="119">
      <x:c r="A119" s="74"/>
      <x:c r="B119" s="74"/>
      <x:c r="C119" s="74"/>
      <x:c r="D119" s="74"/>
      <x:c r="E119" s="74"/>
      <x:c r="F119" s="74"/>
      <x:c r="G119" s="74"/>
      <x:c r="H119" s="74"/>
      <x:c r="I119" s="74"/>
      <x:c r="J119" s="74"/>
      <x:c r="K119" s="74"/>
      <x:c r="L119" s="74"/>
      <x:c r="M119" s="74"/>
      <x:c r="N119" s="74"/>
      <x:c r="O119" s="74"/>
      <x:c r="P119" s="74"/>
      <x:c r="Q119" s="74"/>
      <x:c r="R119" s="74"/>
      <x:c r="S119" s="74"/>
      <x:c r="T119" s="74"/>
      <x:c r="U119" s="74"/>
      <x:c r="V119" s="74"/>
    </x:row>
    <x:row r="120">
      <x:c r="A120" s="74"/>
      <x:c r="B120" s="74"/>
      <x:c r="C120" s="74"/>
      <x:c r="D120" s="74"/>
      <x:c r="E120" s="74"/>
      <x:c r="F120" s="74"/>
      <x:c r="G120" s="74"/>
      <x:c r="H120" s="74"/>
      <x:c r="I120" s="74"/>
      <x:c r="J120" s="74"/>
      <x:c r="K120" s="74"/>
      <x:c r="L120" s="74"/>
      <x:c r="M120" s="74"/>
      <x:c r="N120" s="74"/>
      <x:c r="O120" s="74"/>
      <x:c r="P120" s="74"/>
      <x:c r="Q120" s="74"/>
      <x:c r="R120" s="74"/>
      <x:c r="S120" s="74"/>
      <x:c r="T120" s="74"/>
      <x:c r="U120" s="74"/>
      <x:c r="V120" s="74"/>
    </x:row>
    <x:row r="121">
      <x:c r="A121" s="74"/>
      <x:c r="B121" s="74"/>
      <x:c r="C121" s="74"/>
      <x:c r="D121" s="74"/>
      <x:c r="E121" s="74"/>
      <x:c r="F121" s="74"/>
      <x:c r="G121" s="74"/>
      <x:c r="H121" s="74"/>
      <x:c r="I121" s="74"/>
      <x:c r="J121" s="74"/>
      <x:c r="K121" s="74"/>
      <x:c r="L121" s="74"/>
      <x:c r="M121" s="74"/>
      <x:c r="N121" s="74"/>
      <x:c r="O121" s="74"/>
      <x:c r="P121" s="74"/>
      <x:c r="Q121" s="74"/>
      <x:c r="R121" s="74"/>
      <x:c r="S121" s="74"/>
      <x:c r="T121" s="74"/>
      <x:c r="U121" s="74"/>
      <x:c r="V121" s="74"/>
    </x:row>
    <x:row r="122">
      <x:c r="A122" s="74"/>
      <x:c r="B122" s="74"/>
      <x:c r="C122" s="74"/>
      <x:c r="D122" s="74"/>
      <x:c r="E122" s="74"/>
      <x:c r="F122" s="74"/>
      <x:c r="G122" s="74"/>
      <x:c r="H122" s="74"/>
      <x:c r="I122" s="74"/>
      <x:c r="J122" s="74"/>
      <x:c r="K122" s="74"/>
      <x:c r="L122" s="74"/>
      <x:c r="M122" s="74"/>
      <x:c r="N122" s="74"/>
      <x:c r="O122" s="74"/>
      <x:c r="P122" s="74"/>
      <x:c r="Q122" s="74"/>
      <x:c r="R122" s="74"/>
      <x:c r="S122" s="74"/>
      <x:c r="T122" s="74"/>
      <x:c r="U122" s="74"/>
      <x:c r="V122" s="74"/>
    </x:row>
    <x:row r="123">
      <x:c r="A123" s="74"/>
      <x:c r="B123" s="74"/>
      <x:c r="C123" s="74"/>
      <x:c r="D123" s="74"/>
      <x:c r="E123" s="74"/>
      <x:c r="F123" s="74"/>
      <x:c r="G123" s="74"/>
      <x:c r="H123" s="74"/>
      <x:c r="I123" s="74"/>
      <x:c r="J123" s="74"/>
      <x:c r="K123" s="74"/>
      <x:c r="L123" s="74"/>
      <x:c r="M123" s="74"/>
      <x:c r="N123" s="74"/>
      <x:c r="O123" s="74"/>
      <x:c r="P123" s="74"/>
      <x:c r="Q123" s="74"/>
      <x:c r="R123" s="74"/>
      <x:c r="S123" s="74"/>
      <x:c r="T123" s="74"/>
      <x:c r="U123" s="74"/>
      <x:c r="V123" s="74"/>
    </x:row>
    <x:row r="124">
      <x:c r="A124" s="74"/>
      <x:c r="B124" s="74"/>
      <x:c r="C124" s="74"/>
      <x:c r="D124" s="74"/>
      <x:c r="E124" s="74"/>
      <x:c r="F124" s="74"/>
      <x:c r="G124" s="74"/>
      <x:c r="H124" s="74"/>
      <x:c r="I124" s="74"/>
      <x:c r="J124" s="74"/>
      <x:c r="K124" s="74"/>
      <x:c r="L124" s="74"/>
      <x:c r="M124" s="74"/>
      <x:c r="N124" s="74"/>
      <x:c r="O124" s="74"/>
      <x:c r="P124" s="74"/>
      <x:c r="Q124" s="74"/>
      <x:c r="R124" s="74"/>
      <x:c r="S124" s="74"/>
      <x:c r="T124" s="74"/>
      <x:c r="U124" s="74"/>
      <x:c r="V124" s="74"/>
    </x:row>
    <x:row r="125">
      <x:c r="A125" s="74"/>
      <x:c r="B125" s="74"/>
      <x:c r="C125" s="74"/>
      <x:c r="D125" s="74"/>
      <x:c r="E125" s="74"/>
      <x:c r="F125" s="74"/>
      <x:c r="G125" s="74"/>
      <x:c r="H125" s="74"/>
      <x:c r="I125" s="74"/>
      <x:c r="J125" s="74"/>
      <x:c r="K125" s="74"/>
      <x:c r="L125" s="74"/>
      <x:c r="M125" s="74"/>
      <x:c r="N125" s="74"/>
      <x:c r="O125" s="74"/>
      <x:c r="P125" s="74"/>
      <x:c r="Q125" s="74"/>
      <x:c r="R125" s="74"/>
      <x:c r="S125" s="74"/>
      <x:c r="T125" s="74"/>
      <x:c r="U125" s="74"/>
      <x:c r="V125" s="74"/>
    </x:row>
    <x:row r="126">
      <x:c r="A126" s="74"/>
      <x:c r="B126" s="74"/>
      <x:c r="C126" s="74"/>
      <x:c r="D126" s="74"/>
      <x:c r="E126" s="74"/>
      <x:c r="F126" s="74"/>
      <x:c r="G126" s="74"/>
      <x:c r="H126" s="74"/>
      <x:c r="I126" s="74"/>
      <x:c r="J126" s="74"/>
      <x:c r="K126" s="74"/>
      <x:c r="L126" s="74"/>
      <x:c r="M126" s="74"/>
      <x:c r="N126" s="74"/>
      <x:c r="O126" s="74"/>
      <x:c r="P126" s="74"/>
      <x:c r="Q126" s="74"/>
      <x:c r="R126" s="74"/>
      <x:c r="S126" s="74"/>
      <x:c r="T126" s="74"/>
      <x:c r="U126" s="74"/>
      <x:c r="V126" s="74"/>
    </x:row>
    <x:row r="127">
      <x:c r="A127" s="74"/>
      <x:c r="B127" s="74"/>
      <x:c r="C127" s="74"/>
      <x:c r="D127" s="74"/>
      <x:c r="E127" s="74"/>
      <x:c r="F127" s="74"/>
      <x:c r="G127" s="74"/>
      <x:c r="H127" s="74"/>
      <x:c r="I127" s="74"/>
      <x:c r="J127" s="74"/>
      <x:c r="K127" s="74"/>
      <x:c r="L127" s="74"/>
      <x:c r="M127" s="74"/>
      <x:c r="N127" s="74"/>
      <x:c r="O127" s="74"/>
      <x:c r="P127" s="74"/>
      <x:c r="Q127" s="74"/>
      <x:c r="R127" s="74"/>
      <x:c r="S127" s="74"/>
      <x:c r="T127" s="74"/>
      <x:c r="U127" s="74"/>
      <x:c r="V127" s="74"/>
    </x:row>
    <x:row r="128">
      <x:c r="A128" s="74"/>
      <x:c r="B128" s="74"/>
      <x:c r="C128" s="74"/>
      <x:c r="D128" s="74"/>
      <x:c r="E128" s="74"/>
      <x:c r="F128" s="74"/>
      <x:c r="G128" s="74"/>
      <x:c r="H128" s="74"/>
      <x:c r="I128" s="74"/>
      <x:c r="J128" s="74"/>
      <x:c r="K128" s="74"/>
      <x:c r="L128" s="74"/>
      <x:c r="M128" s="74"/>
      <x:c r="N128" s="74"/>
      <x:c r="O128" s="74"/>
      <x:c r="P128" s="74"/>
      <x:c r="Q128" s="74"/>
      <x:c r="R128" s="74"/>
      <x:c r="S128" s="74"/>
      <x:c r="T128" s="74"/>
      <x:c r="U128" s="74"/>
      <x:c r="V128" s="74"/>
    </x:row>
    <x:row r="129">
      <x:c r="A129" s="74"/>
      <x:c r="B129" s="74"/>
      <x:c r="C129" s="74"/>
      <x:c r="D129" s="74"/>
      <x:c r="E129" s="74"/>
      <x:c r="F129" s="74"/>
      <x:c r="G129" s="74"/>
      <x:c r="H129" s="74"/>
      <x:c r="I129" s="74"/>
      <x:c r="J129" s="74"/>
      <x:c r="K129" s="74"/>
      <x:c r="L129" s="74"/>
      <x:c r="M129" s="74"/>
      <x:c r="N129" s="74"/>
      <x:c r="O129" s="74"/>
      <x:c r="P129" s="74"/>
      <x:c r="Q129" s="74"/>
      <x:c r="R129" s="74"/>
      <x:c r="S129" s="74"/>
      <x:c r="T129" s="74"/>
      <x:c r="U129" s="74"/>
      <x:c r="V129" s="74"/>
    </x:row>
    <x:row r="130">
      <x:c r="A130" s="74"/>
      <x:c r="B130" s="74"/>
      <x:c r="C130" s="74"/>
      <x:c r="D130" s="74"/>
      <x:c r="E130" s="74"/>
      <x:c r="F130" s="74"/>
      <x:c r="G130" s="74"/>
      <x:c r="H130" s="74"/>
      <x:c r="I130" s="74"/>
      <x:c r="J130" s="74"/>
      <x:c r="K130" s="74"/>
      <x:c r="L130" s="74"/>
      <x:c r="M130" s="74"/>
      <x:c r="N130" s="74"/>
      <x:c r="O130" s="74"/>
      <x:c r="P130" s="74"/>
      <x:c r="Q130" s="74"/>
      <x:c r="R130" s="74"/>
      <x:c r="S130" s="74"/>
      <x:c r="T130" s="74"/>
      <x:c r="U130" s="74"/>
      <x:c r="V130" s="74"/>
    </x:row>
    <x:row r="131">
      <x:c r="A131" s="74"/>
      <x:c r="B131" s="74"/>
      <x:c r="C131" s="74"/>
      <x:c r="D131" s="74"/>
      <x:c r="E131" s="74"/>
      <x:c r="F131" s="74"/>
      <x:c r="G131" s="74"/>
      <x:c r="H131" s="74"/>
      <x:c r="I131" s="74"/>
      <x:c r="J131" s="74"/>
      <x:c r="K131" s="74"/>
      <x:c r="L131" s="74"/>
      <x:c r="M131" s="74"/>
      <x:c r="N131" s="74"/>
      <x:c r="O131" s="74"/>
      <x:c r="P131" s="74"/>
      <x:c r="Q131" s="74"/>
      <x:c r="R131" s="74"/>
      <x:c r="S131" s="74"/>
      <x:c r="T131" s="74"/>
      <x:c r="U131" s="74"/>
      <x:c r="V131" s="74"/>
    </x:row>
    <x:row r="132">
      <x:c r="A132" s="74"/>
      <x:c r="B132" s="74"/>
      <x:c r="C132" s="74"/>
      <x:c r="D132" s="74"/>
      <x:c r="E132" s="74"/>
      <x:c r="F132" s="74"/>
      <x:c r="G132" s="74"/>
      <x:c r="H132" s="74"/>
      <x:c r="I132" s="74"/>
      <x:c r="J132" s="74"/>
      <x:c r="K132" s="74"/>
      <x:c r="L132" s="74"/>
      <x:c r="M132" s="74"/>
      <x:c r="N132" s="74"/>
      <x:c r="O132" s="74"/>
      <x:c r="P132" s="74"/>
      <x:c r="Q132" s="74"/>
      <x:c r="R132" s="74"/>
      <x:c r="S132" s="74"/>
      <x:c r="T132" s="74"/>
      <x:c r="U132" s="74"/>
      <x:c r="V132" s="74"/>
    </x:row>
    <x:row r="133">
      <x:c r="A133" s="74"/>
      <x:c r="B133" s="74"/>
      <x:c r="C133" s="74"/>
      <x:c r="D133" s="74"/>
      <x:c r="E133" s="74"/>
      <x:c r="F133" s="74"/>
      <x:c r="G133" s="74"/>
      <x:c r="H133" s="74"/>
      <x:c r="I133" s="74"/>
      <x:c r="J133" s="74"/>
      <x:c r="K133" s="74"/>
      <x:c r="L133" s="74"/>
      <x:c r="M133" s="74"/>
      <x:c r="N133" s="74"/>
      <x:c r="O133" s="74"/>
      <x:c r="P133" s="74"/>
      <x:c r="Q133" s="74"/>
      <x:c r="R133" s="74"/>
      <x:c r="S133" s="74"/>
      <x:c r="T133" s="74"/>
      <x:c r="U133" s="74"/>
      <x:c r="V133" s="74"/>
    </x:row>
    <x:row r="134">
      <x:c r="A134" s="74"/>
      <x:c r="B134" s="74"/>
      <x:c r="C134" s="74"/>
      <x:c r="D134" s="74"/>
      <x:c r="E134" s="74"/>
      <x:c r="F134" s="74"/>
      <x:c r="G134" s="74"/>
      <x:c r="H134" s="74"/>
      <x:c r="I134" s="74"/>
      <x:c r="J134" s="74"/>
      <x:c r="K134" s="74"/>
      <x:c r="L134" s="74"/>
      <x:c r="M134" s="74"/>
      <x:c r="N134" s="74"/>
      <x:c r="O134" s="74"/>
      <x:c r="P134" s="74"/>
      <x:c r="Q134" s="74"/>
      <x:c r="R134" s="74"/>
      <x:c r="S134" s="74"/>
      <x:c r="T134" s="74"/>
      <x:c r="U134" s="74"/>
      <x:c r="V134" s="74"/>
    </x:row>
    <x:row r="135">
      <x:c r="A135" s="74"/>
      <x:c r="B135" s="74"/>
      <x:c r="C135" s="74"/>
      <x:c r="D135" s="74"/>
      <x:c r="E135" s="74"/>
      <x:c r="F135" s="74"/>
      <x:c r="G135" s="74"/>
      <x:c r="H135" s="74"/>
      <x:c r="I135" s="74"/>
      <x:c r="J135" s="74"/>
      <x:c r="K135" s="74"/>
      <x:c r="L135" s="74"/>
      <x:c r="M135" s="74"/>
      <x:c r="N135" s="74"/>
      <x:c r="O135" s="74"/>
      <x:c r="P135" s="74"/>
      <x:c r="Q135" s="74"/>
      <x:c r="R135" s="74"/>
      <x:c r="S135" s="74"/>
      <x:c r="T135" s="74"/>
      <x:c r="U135" s="74"/>
      <x:c r="V135" s="74"/>
    </x:row>
    <x:row r="136">
      <x:c r="A136" s="74"/>
      <x:c r="B136" s="74"/>
      <x:c r="C136" s="74"/>
      <x:c r="D136" s="74"/>
      <x:c r="E136" s="74"/>
      <x:c r="F136" s="74"/>
      <x:c r="G136" s="74"/>
      <x:c r="H136" s="74"/>
      <x:c r="I136" s="74"/>
      <x:c r="J136" s="74"/>
      <x:c r="K136" s="74"/>
      <x:c r="L136" s="74"/>
      <x:c r="M136" s="74"/>
      <x:c r="N136" s="74"/>
      <x:c r="O136" s="74"/>
      <x:c r="P136" s="74"/>
      <x:c r="Q136" s="74"/>
      <x:c r="R136" s="74"/>
      <x:c r="S136" s="74"/>
      <x:c r="T136" s="74"/>
      <x:c r="U136" s="74"/>
      <x:c r="V136" s="74"/>
    </x:row>
    <x:row r="137">
      <x:c r="A137" s="74"/>
      <x:c r="B137" s="74"/>
      <x:c r="C137" s="74"/>
      <x:c r="D137" s="74"/>
      <x:c r="E137" s="74"/>
      <x:c r="F137" s="74"/>
      <x:c r="G137" s="74"/>
      <x:c r="H137" s="74"/>
      <x:c r="I137" s="74"/>
      <x:c r="J137" s="74"/>
      <x:c r="K137" s="74"/>
      <x:c r="L137" s="74"/>
      <x:c r="M137" s="74"/>
      <x:c r="N137" s="74"/>
      <x:c r="O137" s="74"/>
      <x:c r="P137" s="74"/>
      <x:c r="Q137" s="74"/>
      <x:c r="R137" s="74"/>
      <x:c r="S137" s="74"/>
      <x:c r="T137" s="74"/>
      <x:c r="U137" s="74"/>
      <x:c r="V137" s="74"/>
    </x:row>
    <x:row r="138">
      <x:c r="A138" s="74"/>
      <x:c r="B138" s="74"/>
      <x:c r="C138" s="74"/>
      <x:c r="D138" s="74"/>
      <x:c r="E138" s="74"/>
      <x:c r="F138" s="74"/>
      <x:c r="G138" s="74"/>
      <x:c r="H138" s="74"/>
      <x:c r="I138" s="74"/>
      <x:c r="J138" s="74"/>
      <x:c r="K138" s="74"/>
      <x:c r="L138" s="74"/>
      <x:c r="M138" s="74"/>
      <x:c r="N138" s="74"/>
      <x:c r="O138" s="74"/>
      <x:c r="P138" s="74"/>
      <x:c r="Q138" s="74"/>
      <x:c r="R138" s="74"/>
      <x:c r="S138" s="74"/>
      <x:c r="T138" s="74"/>
      <x:c r="U138" s="74"/>
      <x:c r="V138" s="74"/>
    </x:row>
    <x:row r="139">
      <x:c r="A139" s="74"/>
      <x:c r="B139" s="74"/>
      <x:c r="C139" s="74"/>
      <x:c r="D139" s="74"/>
      <x:c r="E139" s="74"/>
      <x:c r="F139" s="74"/>
      <x:c r="G139" s="74"/>
      <x:c r="H139" s="74"/>
      <x:c r="I139" s="74"/>
      <x:c r="J139" s="74"/>
      <x:c r="K139" s="74"/>
      <x:c r="L139" s="74"/>
      <x:c r="M139" s="74"/>
      <x:c r="N139" s="74"/>
      <x:c r="O139" s="74"/>
      <x:c r="P139" s="74"/>
      <x:c r="Q139" s="74"/>
      <x:c r="R139" s="74"/>
      <x:c r="S139" s="74"/>
      <x:c r="T139" s="74"/>
      <x:c r="U139" s="74"/>
      <x:c r="V139" s="74"/>
    </x:row>
    <x:row r="140">
      <x:c r="A140" s="74"/>
      <x:c r="B140" s="74"/>
      <x:c r="C140" s="74"/>
      <x:c r="D140" s="74"/>
      <x:c r="E140" s="74"/>
      <x:c r="F140" s="74"/>
      <x:c r="G140" s="74"/>
      <x:c r="H140" s="74"/>
      <x:c r="I140" s="74"/>
      <x:c r="J140" s="74"/>
      <x:c r="K140" s="74"/>
      <x:c r="L140" s="74"/>
      <x:c r="M140" s="74"/>
      <x:c r="N140" s="74"/>
      <x:c r="O140" s="74"/>
      <x:c r="P140" s="74"/>
      <x:c r="Q140" s="74"/>
      <x:c r="R140" s="74"/>
      <x:c r="S140" s="74"/>
      <x:c r="T140" s="74"/>
      <x:c r="U140" s="74"/>
      <x:c r="V140" s="74"/>
    </x:row>
    <x:row r="141">
      <x:c r="A141" s="74"/>
      <x:c r="B141" s="74"/>
      <x:c r="C141" s="74"/>
      <x:c r="D141" s="74"/>
      <x:c r="E141" s="74"/>
      <x:c r="F141" s="74"/>
      <x:c r="G141" s="74"/>
      <x:c r="H141" s="74"/>
      <x:c r="I141" s="74"/>
      <x:c r="J141" s="74"/>
      <x:c r="K141" s="74"/>
      <x:c r="L141" s="74"/>
      <x:c r="M141" s="74"/>
      <x:c r="N141" s="74"/>
      <x:c r="O141" s="74"/>
      <x:c r="P141" s="74"/>
      <x:c r="Q141" s="74"/>
      <x:c r="R141" s="74"/>
      <x:c r="S141" s="74"/>
      <x:c r="T141" s="74"/>
      <x:c r="U141" s="74"/>
      <x:c r="V141" s="74"/>
    </x:row>
    <x:row r="142">
      <x:c r="A142" s="74"/>
      <x:c r="B142" s="74"/>
      <x:c r="C142" s="74"/>
      <x:c r="D142" s="74"/>
      <x:c r="E142" s="74"/>
      <x:c r="F142" s="74"/>
      <x:c r="G142" s="74"/>
      <x:c r="H142" s="74"/>
      <x:c r="I142" s="74"/>
      <x:c r="J142" s="74"/>
      <x:c r="K142" s="74"/>
      <x:c r="L142" s="74"/>
      <x:c r="M142" s="74"/>
      <x:c r="N142" s="74"/>
      <x:c r="O142" s="74"/>
      <x:c r="P142" s="74"/>
      <x:c r="Q142" s="74"/>
      <x:c r="R142" s="74"/>
      <x:c r="S142" s="74"/>
      <x:c r="T142" s="74"/>
      <x:c r="U142" s="74"/>
      <x:c r="V142" s="74"/>
    </x:row>
    <x:row r="143">
      <x:c r="A143" s="74"/>
      <x:c r="B143" s="74"/>
      <x:c r="C143" s="74"/>
      <x:c r="D143" s="74"/>
      <x:c r="E143" s="74"/>
      <x:c r="F143" s="74"/>
      <x:c r="G143" s="74"/>
      <x:c r="H143" s="74"/>
      <x:c r="I143" s="74"/>
      <x:c r="J143" s="74"/>
      <x:c r="K143" s="74"/>
      <x:c r="L143" s="74"/>
      <x:c r="M143" s="74"/>
      <x:c r="N143" s="74"/>
      <x:c r="O143" s="74"/>
      <x:c r="P143" s="74"/>
      <x:c r="Q143" s="74"/>
      <x:c r="R143" s="74"/>
      <x:c r="S143" s="74"/>
      <x:c r="T143" s="74"/>
      <x:c r="U143" s="74"/>
      <x:c r="V143" s="74"/>
    </x:row>
    <x:row r="144">
      <x:c r="A144" s="74"/>
      <x:c r="B144" s="74"/>
      <x:c r="C144" s="74"/>
      <x:c r="D144" s="74"/>
      <x:c r="E144" s="74"/>
      <x:c r="F144" s="74"/>
      <x:c r="G144" s="74"/>
      <x:c r="H144" s="74"/>
      <x:c r="I144" s="74"/>
      <x:c r="J144" s="74"/>
      <x:c r="K144" s="74"/>
      <x:c r="L144" s="74"/>
      <x:c r="M144" s="74"/>
      <x:c r="N144" s="74"/>
      <x:c r="O144" s="74"/>
      <x:c r="P144" s="74"/>
      <x:c r="Q144" s="74"/>
      <x:c r="R144" s="74"/>
      <x:c r="S144" s="74"/>
      <x:c r="T144" s="74"/>
      <x:c r="U144" s="74"/>
      <x:c r="V144" s="74"/>
    </x:row>
    <x:row r="145">
      <x:c r="A145" s="74"/>
      <x:c r="B145" s="74"/>
      <x:c r="C145" s="74"/>
      <x:c r="D145" s="74"/>
      <x:c r="E145" s="74"/>
      <x:c r="F145" s="74"/>
      <x:c r="G145" s="74"/>
      <x:c r="H145" s="74"/>
      <x:c r="I145" s="74"/>
      <x:c r="J145" s="74"/>
      <x:c r="K145" s="74"/>
      <x:c r="L145" s="74"/>
      <x:c r="M145" s="74"/>
      <x:c r="N145" s="74"/>
      <x:c r="O145" s="74"/>
      <x:c r="P145" s="74"/>
      <x:c r="Q145" s="74"/>
      <x:c r="R145" s="74"/>
      <x:c r="S145" s="74"/>
      <x:c r="T145" s="74"/>
      <x:c r="U145" s="74"/>
      <x:c r="V145" s="74"/>
    </x:row>
    <x:row r="146">
      <x:c r="A146" s="74"/>
      <x:c r="B146" s="74"/>
      <x:c r="C146" s="74"/>
      <x:c r="D146" s="74"/>
      <x:c r="E146" s="74"/>
      <x:c r="F146" s="74"/>
      <x:c r="G146" s="74"/>
      <x:c r="H146" s="74"/>
      <x:c r="I146" s="74"/>
      <x:c r="J146" s="74"/>
      <x:c r="K146" s="74"/>
      <x:c r="L146" s="74"/>
      <x:c r="M146" s="74"/>
      <x:c r="N146" s="74"/>
      <x:c r="O146" s="74"/>
      <x:c r="P146" s="74"/>
      <x:c r="Q146" s="74"/>
      <x:c r="R146" s="74"/>
      <x:c r="S146" s="74"/>
      <x:c r="T146" s="74"/>
      <x:c r="U146" s="74"/>
      <x:c r="V146" s="74"/>
    </x:row>
    <x:row r="147">
      <x:c r="A147" s="74"/>
      <x:c r="B147" s="74"/>
      <x:c r="C147" s="74"/>
      <x:c r="D147" s="74"/>
      <x:c r="E147" s="74"/>
      <x:c r="F147" s="74"/>
      <x:c r="G147" s="74"/>
      <x:c r="H147" s="74"/>
      <x:c r="I147" s="74"/>
      <x:c r="J147" s="74"/>
      <x:c r="K147" s="74"/>
      <x:c r="L147" s="74"/>
      <x:c r="M147" s="74"/>
      <x:c r="N147" s="74"/>
      <x:c r="O147" s="74"/>
      <x:c r="P147" s="74"/>
      <x:c r="Q147" s="74"/>
      <x:c r="R147" s="74"/>
      <x:c r="S147" s="74"/>
      <x:c r="T147" s="74"/>
      <x:c r="U147" s="74"/>
      <x:c r="V147" s="74"/>
    </x:row>
    <x:row r="148">
      <x:c r="A148" s="74"/>
      <x:c r="B148" s="74"/>
      <x:c r="C148" s="74"/>
      <x:c r="D148" s="74"/>
      <x:c r="E148" s="74"/>
      <x:c r="F148" s="74"/>
      <x:c r="G148" s="74"/>
      <x:c r="H148" s="74"/>
      <x:c r="I148" s="74"/>
      <x:c r="J148" s="74"/>
      <x:c r="K148" s="74"/>
      <x:c r="L148" s="74"/>
      <x:c r="M148" s="74"/>
      <x:c r="N148" s="74"/>
      <x:c r="O148" s="74"/>
      <x:c r="P148" s="74"/>
      <x:c r="Q148" s="74"/>
      <x:c r="R148" s="74"/>
      <x:c r="S148" s="74"/>
      <x:c r="T148" s="74"/>
      <x:c r="U148" s="74"/>
      <x:c r="V148" s="74"/>
    </x:row>
    <x:row r="149">
      <x:c r="A149" s="74"/>
      <x:c r="B149" s="74"/>
      <x:c r="C149" s="74"/>
      <x:c r="D149" s="74"/>
      <x:c r="E149" s="74"/>
      <x:c r="F149" s="74"/>
      <x:c r="G149" s="74"/>
      <x:c r="H149" s="74"/>
      <x:c r="I149" s="74"/>
      <x:c r="J149" s="74"/>
      <x:c r="K149" s="74"/>
      <x:c r="L149" s="74"/>
      <x:c r="M149" s="74"/>
      <x:c r="N149" s="74"/>
      <x:c r="O149" s="74"/>
      <x:c r="P149" s="74"/>
      <x:c r="Q149" s="74"/>
      <x:c r="R149" s="74"/>
      <x:c r="S149" s="74"/>
      <x:c r="T149" s="74"/>
      <x:c r="U149" s="74"/>
      <x:c r="V149" s="74"/>
    </x:row>
    <x:row r="150">
      <x:c r="A150" s="74"/>
      <x:c r="B150" s="74"/>
      <x:c r="C150" s="74"/>
      <x:c r="D150" s="74"/>
      <x:c r="E150" s="74"/>
      <x:c r="F150" s="74"/>
      <x:c r="G150" s="74"/>
      <x:c r="H150" s="74"/>
      <x:c r="I150" s="74"/>
      <x:c r="J150" s="74"/>
      <x:c r="K150" s="74"/>
      <x:c r="L150" s="74"/>
      <x:c r="M150" s="74"/>
      <x:c r="N150" s="74"/>
      <x:c r="O150" s="74"/>
      <x:c r="P150" s="74"/>
      <x:c r="Q150" s="74"/>
      <x:c r="R150" s="74"/>
      <x:c r="S150" s="74"/>
      <x:c r="T150" s="74"/>
      <x:c r="U150" s="74"/>
      <x:c r="V150" s="74"/>
    </x:row>
    <x:row r="151">
      <x:c r="A151" s="74"/>
      <x:c r="B151" s="74"/>
      <x:c r="C151" s="74"/>
      <x:c r="D151" s="74"/>
      <x:c r="E151" s="74"/>
      <x:c r="F151" s="74"/>
      <x:c r="G151" s="74"/>
      <x:c r="H151" s="74"/>
      <x:c r="I151" s="74"/>
      <x:c r="J151" s="74"/>
      <x:c r="K151" s="74"/>
      <x:c r="L151" s="74"/>
      <x:c r="M151" s="74"/>
      <x:c r="N151" s="74"/>
      <x:c r="O151" s="74"/>
      <x:c r="P151" s="74"/>
      <x:c r="Q151" s="74"/>
      <x:c r="R151" s="74"/>
      <x:c r="S151" s="74"/>
      <x:c r="T151" s="74"/>
      <x:c r="U151" s="74"/>
      <x:c r="V151" s="74"/>
    </x:row>
    <x:row r="152">
      <x:c r="A152" s="74"/>
      <x:c r="B152" s="74"/>
      <x:c r="C152" s="74"/>
      <x:c r="D152" s="74"/>
      <x:c r="E152" s="74"/>
      <x:c r="F152" s="74"/>
      <x:c r="G152" s="74"/>
      <x:c r="H152" s="74"/>
      <x:c r="I152" s="74"/>
      <x:c r="J152" s="74"/>
      <x:c r="K152" s="74"/>
      <x:c r="L152" s="74"/>
      <x:c r="M152" s="74"/>
      <x:c r="N152" s="74"/>
      <x:c r="O152" s="74"/>
      <x:c r="P152" s="74"/>
      <x:c r="Q152" s="74"/>
      <x:c r="R152" s="74"/>
      <x:c r="S152" s="74"/>
      <x:c r="T152" s="74"/>
      <x:c r="U152" s="74"/>
      <x:c r="V152" s="74"/>
    </x:row>
    <x:row r="153">
      <x:c r="A153" s="74"/>
      <x:c r="B153" s="74"/>
      <x:c r="C153" s="74"/>
      <x:c r="D153" s="74"/>
      <x:c r="E153" s="74"/>
      <x:c r="F153" s="74"/>
      <x:c r="G153" s="74"/>
      <x:c r="H153" s="74"/>
      <x:c r="I153" s="74"/>
      <x:c r="J153" s="74"/>
      <x:c r="K153" s="74"/>
      <x:c r="L153" s="74"/>
      <x:c r="M153" s="74"/>
      <x:c r="N153" s="74"/>
      <x:c r="O153" s="74"/>
      <x:c r="P153" s="74"/>
      <x:c r="Q153" s="74"/>
      <x:c r="R153" s="74"/>
      <x:c r="S153" s="74"/>
      <x:c r="T153" s="74"/>
      <x:c r="U153" s="74"/>
      <x:c r="V153" s="74"/>
    </x:row>
    <x:row r="154">
      <x:c r="A154" s="74"/>
      <x:c r="B154" s="74"/>
      <x:c r="C154" s="74"/>
      <x:c r="D154" s="74"/>
      <x:c r="E154" s="74"/>
      <x:c r="F154" s="74"/>
      <x:c r="G154" s="74"/>
      <x:c r="H154" s="74"/>
      <x:c r="I154" s="74"/>
      <x:c r="J154" s="74"/>
      <x:c r="K154" s="74"/>
      <x:c r="L154" s="74"/>
      <x:c r="M154" s="74"/>
      <x:c r="N154" s="74"/>
      <x:c r="O154" s="74"/>
      <x:c r="P154" s="74"/>
      <x:c r="Q154" s="74"/>
      <x:c r="R154" s="74"/>
      <x:c r="S154" s="74"/>
      <x:c r="T154" s="74"/>
      <x:c r="U154" s="74"/>
      <x:c r="V154" s="74"/>
    </x:row>
    <x:row r="155">
      <x:c r="A155" s="74"/>
      <x:c r="B155" s="74"/>
      <x:c r="C155" s="74"/>
      <x:c r="D155" s="74"/>
      <x:c r="E155" s="74"/>
      <x:c r="F155" s="74"/>
      <x:c r="G155" s="74"/>
      <x:c r="H155" s="74"/>
      <x:c r="I155" s="74"/>
      <x:c r="J155" s="74"/>
      <x:c r="K155" s="74"/>
      <x:c r="L155" s="74"/>
      <x:c r="M155" s="74"/>
      <x:c r="N155" s="74"/>
      <x:c r="O155" s="74"/>
      <x:c r="P155" s="74"/>
      <x:c r="Q155" s="74"/>
      <x:c r="R155" s="74"/>
      <x:c r="S155" s="74"/>
      <x:c r="T155" s="74"/>
      <x:c r="U155" s="74"/>
      <x:c r="V155" s="74"/>
    </x:row>
    <x:row r="156">
      <x:c r="A156" s="74"/>
      <x:c r="B156" s="74"/>
      <x:c r="C156" s="74"/>
      <x:c r="D156" s="74"/>
      <x:c r="E156" s="74"/>
      <x:c r="F156" s="74"/>
      <x:c r="G156" s="74"/>
      <x:c r="H156" s="74"/>
      <x:c r="I156" s="74"/>
      <x:c r="J156" s="74"/>
      <x:c r="K156" s="74"/>
      <x:c r="L156" s="74"/>
      <x:c r="M156" s="74"/>
      <x:c r="N156" s="74"/>
      <x:c r="O156" s="74"/>
      <x:c r="P156" s="74"/>
      <x:c r="Q156" s="74"/>
      <x:c r="R156" s="74"/>
      <x:c r="S156" s="74"/>
      <x:c r="T156" s="74"/>
      <x:c r="U156" s="74"/>
      <x:c r="V156" s="74"/>
    </x:row>
    <x:row r="157">
      <x:c r="A157" s="74"/>
      <x:c r="B157" s="74"/>
      <x:c r="C157" s="74"/>
      <x:c r="D157" s="74"/>
      <x:c r="E157" s="74"/>
      <x:c r="F157" s="74"/>
      <x:c r="G157" s="74"/>
      <x:c r="H157" s="74"/>
      <x:c r="I157" s="74"/>
      <x:c r="J157" s="74"/>
      <x:c r="K157" s="74"/>
      <x:c r="L157" s="74"/>
      <x:c r="M157" s="74"/>
      <x:c r="N157" s="74"/>
      <x:c r="O157" s="74"/>
      <x:c r="P157" s="74"/>
      <x:c r="Q157" s="74"/>
      <x:c r="R157" s="74"/>
      <x:c r="S157" s="74"/>
      <x:c r="T157" s="74"/>
      <x:c r="U157" s="74"/>
      <x:c r="V157" s="74"/>
    </x:row>
    <x:row r="158">
      <x:c r="A158" s="74"/>
      <x:c r="B158" s="74"/>
      <x:c r="C158" s="74"/>
      <x:c r="D158" s="74"/>
      <x:c r="E158" s="74"/>
      <x:c r="F158" s="74"/>
      <x:c r="G158" s="74"/>
      <x:c r="H158" s="74"/>
      <x:c r="I158" s="74"/>
      <x:c r="J158" s="74"/>
      <x:c r="K158" s="74"/>
      <x:c r="L158" s="74"/>
      <x:c r="M158" s="74"/>
      <x:c r="N158" s="74"/>
      <x:c r="O158" s="74"/>
      <x:c r="P158" s="74"/>
      <x:c r="Q158" s="74"/>
      <x:c r="R158" s="74"/>
      <x:c r="S158" s="74"/>
      <x:c r="T158" s="74"/>
      <x:c r="U158" s="74"/>
      <x:c r="V158" s="74"/>
    </x:row>
    <x:row r="159">
      <x:c r="A159" s="74"/>
      <x:c r="B159" s="74"/>
      <x:c r="C159" s="74"/>
      <x:c r="D159" s="74"/>
      <x:c r="E159" s="74"/>
      <x:c r="F159" s="74"/>
      <x:c r="G159" s="74"/>
      <x:c r="H159" s="74"/>
      <x:c r="I159" s="74"/>
      <x:c r="J159" s="74"/>
      <x:c r="K159" s="74"/>
      <x:c r="L159" s="74"/>
      <x:c r="M159" s="74"/>
      <x:c r="N159" s="74"/>
      <x:c r="O159" s="74"/>
      <x:c r="P159" s="74"/>
      <x:c r="Q159" s="74"/>
      <x:c r="R159" s="74"/>
      <x:c r="S159" s="74"/>
      <x:c r="T159" s="74"/>
      <x:c r="U159" s="74"/>
      <x:c r="V159" s="74"/>
    </x:row>
    <x:row r="160">
      <x:c r="A160" s="74"/>
      <x:c r="B160" s="74"/>
      <x:c r="C160" s="74"/>
      <x:c r="D160" s="74"/>
      <x:c r="E160" s="74"/>
      <x:c r="F160" s="74"/>
      <x:c r="G160" s="74"/>
      <x:c r="H160" s="74"/>
      <x:c r="I160" s="74"/>
      <x:c r="J160" s="74"/>
      <x:c r="K160" s="74"/>
      <x:c r="L160" s="74"/>
      <x:c r="M160" s="74"/>
      <x:c r="N160" s="74"/>
      <x:c r="O160" s="74"/>
      <x:c r="P160" s="74"/>
      <x:c r="Q160" s="74"/>
      <x:c r="R160" s="74"/>
      <x:c r="S160" s="74"/>
      <x:c r="T160" s="74"/>
      <x:c r="U160" s="74"/>
      <x:c r="V160" s="74"/>
    </x:row>
    <x:row r="161">
      <x:c r="A161" s="74"/>
      <x:c r="B161" s="74"/>
      <x:c r="C161" s="74"/>
      <x:c r="D161" s="74"/>
      <x:c r="E161" s="74"/>
      <x:c r="F161" s="74"/>
      <x:c r="G161" s="74"/>
      <x:c r="H161" s="74"/>
      <x:c r="I161" s="74"/>
      <x:c r="J161" s="74"/>
      <x:c r="K161" s="74"/>
      <x:c r="L161" s="74"/>
      <x:c r="M161" s="74"/>
      <x:c r="N161" s="74"/>
      <x:c r="O161" s="74"/>
      <x:c r="P161" s="74"/>
      <x:c r="Q161" s="74"/>
      <x:c r="R161" s="74"/>
      <x:c r="S161" s="74"/>
      <x:c r="T161" s="74"/>
      <x:c r="U161" s="74"/>
      <x:c r="V161" s="74"/>
    </x:row>
    <x:row r="162">
      <x:c r="A162" s="74"/>
      <x:c r="B162" s="74"/>
      <x:c r="C162" s="74"/>
      <x:c r="D162" s="74"/>
      <x:c r="E162" s="74"/>
      <x:c r="F162" s="74"/>
      <x:c r="G162" s="74"/>
      <x:c r="H162" s="74"/>
      <x:c r="I162" s="74"/>
      <x:c r="J162" s="74"/>
      <x:c r="K162" s="74"/>
      <x:c r="L162" s="74"/>
      <x:c r="M162" s="74"/>
      <x:c r="N162" s="74"/>
      <x:c r="O162" s="74"/>
      <x:c r="P162" s="74"/>
      <x:c r="Q162" s="74"/>
      <x:c r="R162" s="74"/>
      <x:c r="S162" s="74"/>
      <x:c r="T162" s="74"/>
      <x:c r="U162" s="74"/>
      <x:c r="V162" s="74"/>
    </x:row>
    <x:row r="163">
      <x:c r="A163" s="74"/>
      <x:c r="B163" s="74"/>
      <x:c r="C163" s="74"/>
      <x:c r="D163" s="74"/>
      <x:c r="E163" s="74"/>
      <x:c r="F163" s="74"/>
      <x:c r="G163" s="74"/>
      <x:c r="H163" s="74"/>
      <x:c r="I163" s="74"/>
      <x:c r="J163" s="74"/>
      <x:c r="K163" s="74"/>
      <x:c r="L163" s="74"/>
      <x:c r="M163" s="74"/>
      <x:c r="N163" s="74"/>
      <x:c r="O163" s="74"/>
      <x:c r="P163" s="74"/>
      <x:c r="Q163" s="74"/>
      <x:c r="R163" s="74"/>
      <x:c r="S163" s="74"/>
      <x:c r="T163" s="74"/>
      <x:c r="U163" s="74"/>
      <x:c r="V163" s="74"/>
    </x:row>
    <x:row r="164">
      <x:c r="A164" s="74"/>
      <x:c r="B164" s="74"/>
      <x:c r="C164" s="74"/>
      <x:c r="D164" s="74"/>
      <x:c r="E164" s="74"/>
      <x:c r="F164" s="74"/>
      <x:c r="G164" s="74"/>
      <x:c r="H164" s="74"/>
      <x:c r="I164" s="74"/>
      <x:c r="J164" s="74"/>
      <x:c r="K164" s="74"/>
      <x:c r="L164" s="74"/>
      <x:c r="M164" s="74"/>
      <x:c r="N164" s="74"/>
      <x:c r="O164" s="74"/>
      <x:c r="P164" s="74"/>
      <x:c r="Q164" s="74"/>
      <x:c r="R164" s="74"/>
      <x:c r="S164" s="74"/>
      <x:c r="T164" s="74"/>
      <x:c r="U164" s="74"/>
      <x:c r="V164" s="74"/>
    </x:row>
    <x:row r="165">
      <x:c r="A165" s="74"/>
      <x:c r="B165" s="74"/>
      <x:c r="C165" s="74"/>
      <x:c r="D165" s="74"/>
      <x:c r="E165" s="74"/>
      <x:c r="F165" s="74"/>
      <x:c r="G165" s="74"/>
      <x:c r="H165" s="74"/>
      <x:c r="I165" s="74"/>
      <x:c r="J165" s="74"/>
      <x:c r="K165" s="74"/>
      <x:c r="L165" s="74"/>
      <x:c r="M165" s="74"/>
      <x:c r="N165" s="74"/>
      <x:c r="O165" s="74"/>
      <x:c r="P165" s="74"/>
      <x:c r="Q165" s="74"/>
      <x:c r="R165" s="74"/>
      <x:c r="S165" s="74"/>
      <x:c r="T165" s="74"/>
      <x:c r="U165" s="74"/>
      <x:c r="V165" s="74"/>
    </x:row>
    <x:row r="166">
      <x:c r="A166" s="74"/>
      <x:c r="B166" s="74"/>
      <x:c r="C166" s="74"/>
      <x:c r="D166" s="74"/>
      <x:c r="E166" s="74"/>
      <x:c r="F166" s="74"/>
      <x:c r="G166" s="74"/>
      <x:c r="H166" s="74"/>
      <x:c r="I166" s="74"/>
      <x:c r="J166" s="74"/>
      <x:c r="K166" s="74"/>
      <x:c r="L166" s="74"/>
      <x:c r="M166" s="74"/>
      <x:c r="N166" s="74"/>
      <x:c r="O166" s="74"/>
      <x:c r="P166" s="74"/>
      <x:c r="Q166" s="74"/>
      <x:c r="R166" s="74"/>
      <x:c r="S166" s="74"/>
      <x:c r="T166" s="74"/>
      <x:c r="U166" s="74"/>
      <x:c r="V166" s="74"/>
    </x:row>
    <x:row r="167">
      <x:c r="A167" s="74"/>
      <x:c r="B167" s="74"/>
      <x:c r="C167" s="74"/>
      <x:c r="D167" s="74"/>
      <x:c r="E167" s="74"/>
      <x:c r="F167" s="74"/>
      <x:c r="G167" s="74"/>
      <x:c r="H167" s="74"/>
      <x:c r="I167" s="74"/>
      <x:c r="J167" s="74"/>
      <x:c r="K167" s="74"/>
      <x:c r="L167" s="74"/>
      <x:c r="M167" s="74"/>
      <x:c r="N167" s="74"/>
      <x:c r="O167" s="74"/>
      <x:c r="P167" s="74"/>
      <x:c r="Q167" s="74"/>
      <x:c r="R167" s="74"/>
      <x:c r="S167" s="74"/>
      <x:c r="T167" s="74"/>
      <x:c r="U167" s="74"/>
      <x:c r="V167" s="74"/>
    </x:row>
    <x:row r="168">
      <x:c r="A168" s="74"/>
      <x:c r="B168" s="74"/>
      <x:c r="C168" s="74"/>
      <x:c r="D168" s="74"/>
      <x:c r="E168" s="74"/>
      <x:c r="F168" s="74"/>
      <x:c r="G168" s="74"/>
      <x:c r="H168" s="74"/>
      <x:c r="I168" s="74"/>
      <x:c r="J168" s="74"/>
      <x:c r="K168" s="74"/>
      <x:c r="L168" s="74"/>
      <x:c r="M168" s="74"/>
      <x:c r="N168" s="74"/>
      <x:c r="O168" s="74"/>
      <x:c r="P168" s="74"/>
      <x:c r="Q168" s="74"/>
      <x:c r="R168" s="74"/>
      <x:c r="S168" s="74"/>
      <x:c r="T168" s="74"/>
      <x:c r="U168" s="74"/>
      <x:c r="V168" s="74"/>
    </x:row>
    <x:row r="169">
      <x:c r="A169" s="74"/>
      <x:c r="B169" s="74"/>
      <x:c r="C169" s="74"/>
      <x:c r="D169" s="74"/>
      <x:c r="E169" s="74"/>
      <x:c r="F169" s="74"/>
      <x:c r="G169" s="74"/>
      <x:c r="H169" s="74"/>
      <x:c r="I169" s="74"/>
      <x:c r="J169" s="74"/>
      <x:c r="K169" s="74"/>
      <x:c r="L169" s="74"/>
      <x:c r="M169" s="74"/>
      <x:c r="N169" s="74"/>
      <x:c r="O169" s="74"/>
      <x:c r="P169" s="74"/>
      <x:c r="Q169" s="74"/>
      <x:c r="R169" s="74"/>
      <x:c r="S169" s="74"/>
      <x:c r="T169" s="74"/>
      <x:c r="U169" s="74"/>
      <x:c r="V169" s="74"/>
    </x:row>
    <x:row r="170">
      <x:c r="A170" s="74"/>
      <x:c r="B170" s="74"/>
      <x:c r="C170" s="74"/>
      <x:c r="D170" s="74"/>
      <x:c r="E170" s="74"/>
      <x:c r="F170" s="74"/>
      <x:c r="G170" s="74"/>
      <x:c r="H170" s="74"/>
      <x:c r="I170" s="74"/>
      <x:c r="J170" s="74"/>
      <x:c r="K170" s="74"/>
      <x:c r="L170" s="74"/>
      <x:c r="M170" s="74"/>
      <x:c r="N170" s="74"/>
      <x:c r="O170" s="74"/>
      <x:c r="P170" s="74"/>
      <x:c r="Q170" s="74"/>
      <x:c r="R170" s="74"/>
      <x:c r="S170" s="74"/>
      <x:c r="T170" s="74"/>
      <x:c r="U170" s="74"/>
      <x:c r="V170" s="74"/>
    </x:row>
    <x:row r="171">
      <x:c r="A171" s="74"/>
      <x:c r="B171" s="74"/>
      <x:c r="C171" s="74"/>
      <x:c r="D171" s="74"/>
      <x:c r="E171" s="74"/>
      <x:c r="F171" s="74"/>
      <x:c r="G171" s="74"/>
      <x:c r="H171" s="74"/>
      <x:c r="I171" s="74"/>
      <x:c r="J171" s="74"/>
      <x:c r="K171" s="74"/>
      <x:c r="L171" s="74"/>
      <x:c r="M171" s="74"/>
      <x:c r="N171" s="74"/>
      <x:c r="O171" s="74"/>
      <x:c r="P171" s="74"/>
      <x:c r="Q171" s="74"/>
      <x:c r="R171" s="74"/>
      <x:c r="S171" s="74"/>
      <x:c r="T171" s="74"/>
      <x:c r="U171" s="74"/>
      <x:c r="V171" s="74"/>
    </x:row>
    <x:row r="172">
      <x:c r="A172" s="74"/>
      <x:c r="B172" s="74"/>
      <x:c r="C172" s="74"/>
      <x:c r="D172" s="74"/>
      <x:c r="E172" s="74"/>
      <x:c r="F172" s="74"/>
      <x:c r="G172" s="74"/>
      <x:c r="H172" s="74"/>
      <x:c r="I172" s="74"/>
      <x:c r="J172" s="74"/>
      <x:c r="K172" s="74"/>
      <x:c r="L172" s="74"/>
      <x:c r="M172" s="74"/>
      <x:c r="N172" s="74"/>
      <x:c r="O172" s="74"/>
      <x:c r="P172" s="74"/>
      <x:c r="Q172" s="74"/>
      <x:c r="R172" s="74"/>
      <x:c r="S172" s="74"/>
      <x:c r="T172" s="74"/>
      <x:c r="U172" s="74"/>
      <x:c r="V172" s="74"/>
    </x:row>
    <x:row r="173">
      <x:c r="A173" s="74"/>
      <x:c r="B173" s="74"/>
      <x:c r="C173" s="74"/>
      <x:c r="D173" s="74"/>
      <x:c r="E173" s="74"/>
      <x:c r="F173" s="74"/>
      <x:c r="G173" s="74"/>
      <x:c r="H173" s="74"/>
      <x:c r="I173" s="74"/>
      <x:c r="J173" s="74"/>
      <x:c r="K173" s="74"/>
      <x:c r="L173" s="74"/>
      <x:c r="M173" s="74"/>
      <x:c r="N173" s="74"/>
      <x:c r="O173" s="74"/>
      <x:c r="P173" s="74"/>
      <x:c r="Q173" s="74"/>
      <x:c r="R173" s="74"/>
      <x:c r="S173" s="74"/>
      <x:c r="T173" s="74"/>
      <x:c r="U173" s="74"/>
      <x:c r="V173" s="74"/>
    </x:row>
    <x:row r="174">
      <x:c r="A174" s="74"/>
      <x:c r="B174" s="74"/>
      <x:c r="C174" s="74"/>
      <x:c r="D174" s="74"/>
      <x:c r="E174" s="74"/>
      <x:c r="F174" s="74"/>
      <x:c r="G174" s="74"/>
      <x:c r="H174" s="74"/>
      <x:c r="I174" s="74"/>
      <x:c r="J174" s="74"/>
      <x:c r="K174" s="74"/>
      <x:c r="L174" s="74"/>
      <x:c r="M174" s="74"/>
      <x:c r="N174" s="74"/>
      <x:c r="O174" s="74"/>
      <x:c r="P174" s="74"/>
      <x:c r="Q174" s="74"/>
      <x:c r="R174" s="74"/>
      <x:c r="S174" s="74"/>
      <x:c r="T174" s="74"/>
      <x:c r="U174" s="74"/>
      <x:c r="V174" s="74"/>
    </x:row>
    <x:row r="175">
      <x:c r="A175" s="74"/>
      <x:c r="B175" s="74"/>
      <x:c r="C175" s="74"/>
      <x:c r="D175" s="74"/>
      <x:c r="E175" s="74"/>
      <x:c r="F175" s="74"/>
      <x:c r="G175" s="74"/>
      <x:c r="H175" s="74"/>
      <x:c r="I175" s="74"/>
      <x:c r="J175" s="74"/>
      <x:c r="K175" s="74"/>
      <x:c r="L175" s="74"/>
      <x:c r="M175" s="74"/>
      <x:c r="N175" s="74"/>
      <x:c r="O175" s="74"/>
      <x:c r="P175" s="74"/>
      <x:c r="Q175" s="74"/>
      <x:c r="R175" s="74"/>
      <x:c r="S175" s="74"/>
      <x:c r="T175" s="74"/>
      <x:c r="U175" s="74"/>
      <x:c r="V175" s="74"/>
    </x:row>
    <x:row r="176">
      <x:c r="A176" s="74"/>
      <x:c r="B176" s="74"/>
      <x:c r="C176" s="74"/>
      <x:c r="D176" s="74"/>
      <x:c r="E176" s="74"/>
      <x:c r="F176" s="74"/>
      <x:c r="G176" s="74"/>
      <x:c r="H176" s="74"/>
      <x:c r="I176" s="74"/>
      <x:c r="J176" s="74"/>
      <x:c r="K176" s="74"/>
      <x:c r="L176" s="74"/>
      <x:c r="M176" s="74"/>
      <x:c r="N176" s="74"/>
      <x:c r="O176" s="74"/>
      <x:c r="P176" s="74"/>
      <x:c r="Q176" s="74"/>
      <x:c r="R176" s="74"/>
      <x:c r="S176" s="74"/>
      <x:c r="T176" s="74"/>
      <x:c r="U176" s="74"/>
      <x:c r="V176" s="74"/>
    </x:row>
    <x:row r="177">
      <x:c r="A177" s="74"/>
      <x:c r="B177" s="74"/>
      <x:c r="C177" s="74"/>
      <x:c r="D177" s="74"/>
      <x:c r="E177" s="74"/>
      <x:c r="F177" s="74"/>
      <x:c r="G177" s="74"/>
      <x:c r="H177" s="74"/>
      <x:c r="I177" s="74"/>
      <x:c r="J177" s="74"/>
      <x:c r="K177" s="74"/>
      <x:c r="L177" s="74"/>
      <x:c r="M177" s="74"/>
      <x:c r="N177" s="74"/>
      <x:c r="O177" s="74"/>
      <x:c r="P177" s="74"/>
      <x:c r="Q177" s="74"/>
      <x:c r="R177" s="74"/>
      <x:c r="S177" s="74"/>
      <x:c r="T177" s="74"/>
      <x:c r="U177" s="74"/>
      <x:c r="V177" s="74"/>
    </x:row>
    <x:row r="178">
      <x:c r="A178" s="74"/>
      <x:c r="B178" s="74"/>
      <x:c r="C178" s="74"/>
      <x:c r="D178" s="74"/>
      <x:c r="E178" s="74"/>
      <x:c r="F178" s="74"/>
      <x:c r="G178" s="74"/>
      <x:c r="H178" s="74"/>
      <x:c r="I178" s="74"/>
      <x:c r="J178" s="74"/>
      <x:c r="K178" s="74"/>
      <x:c r="L178" s="74"/>
      <x:c r="M178" s="74"/>
      <x:c r="N178" s="74"/>
      <x:c r="O178" s="74"/>
      <x:c r="P178" s="74"/>
      <x:c r="Q178" s="74"/>
      <x:c r="R178" s="74"/>
      <x:c r="S178" s="74"/>
      <x:c r="T178" s="74"/>
      <x:c r="U178" s="74"/>
      <x:c r="V178" s="74"/>
    </x:row>
    <x:row r="179">
      <x:c r="A179" s="74"/>
      <x:c r="B179" s="74"/>
      <x:c r="C179" s="74"/>
      <x:c r="D179" s="74"/>
      <x:c r="E179" s="74"/>
      <x:c r="F179" s="74"/>
      <x:c r="G179" s="74"/>
      <x:c r="H179" s="74"/>
      <x:c r="I179" s="74"/>
      <x:c r="J179" s="74"/>
      <x:c r="K179" s="74"/>
      <x:c r="L179" s="74"/>
      <x:c r="M179" s="74"/>
      <x:c r="N179" s="74"/>
      <x:c r="O179" s="74"/>
      <x:c r="P179" s="74"/>
      <x:c r="Q179" s="74"/>
      <x:c r="R179" s="74"/>
      <x:c r="S179" s="74"/>
      <x:c r="T179" s="74"/>
      <x:c r="U179" s="74"/>
      <x:c r="V179" s="74"/>
    </x:row>
    <x:row r="180">
      <x:c r="A180" s="74"/>
      <x:c r="B180" s="74"/>
      <x:c r="C180" s="74"/>
      <x:c r="D180" s="74"/>
      <x:c r="E180" s="74"/>
      <x:c r="F180" s="74"/>
      <x:c r="G180" s="74"/>
      <x:c r="H180" s="74"/>
      <x:c r="I180" s="74"/>
      <x:c r="J180" s="74"/>
      <x:c r="K180" s="74"/>
      <x:c r="L180" s="74"/>
      <x:c r="M180" s="74"/>
      <x:c r="N180" s="74"/>
      <x:c r="O180" s="74"/>
      <x:c r="P180" s="74"/>
      <x:c r="Q180" s="74"/>
      <x:c r="R180" s="74"/>
      <x:c r="S180" s="74"/>
      <x:c r="T180" s="74"/>
      <x:c r="U180" s="74"/>
      <x:c r="V180" s="74"/>
    </x:row>
    <x:row r="181">
      <x:c r="A181" s="74"/>
      <x:c r="B181" s="74"/>
      <x:c r="C181" s="74"/>
      <x:c r="D181" s="74"/>
      <x:c r="E181" s="74"/>
      <x:c r="F181" s="74"/>
      <x:c r="G181" s="74"/>
      <x:c r="H181" s="74"/>
      <x:c r="I181" s="74"/>
      <x:c r="J181" s="74"/>
      <x:c r="K181" s="74"/>
      <x:c r="L181" s="74"/>
      <x:c r="M181" s="74"/>
      <x:c r="N181" s="74"/>
      <x:c r="O181" s="74"/>
      <x:c r="P181" s="74"/>
      <x:c r="Q181" s="74"/>
      <x:c r="R181" s="74"/>
      <x:c r="S181" s="74"/>
      <x:c r="T181" s="74"/>
      <x:c r="U181" s="74"/>
      <x:c r="V181" s="74"/>
    </x:row>
    <x:row r="182">
      <x:c r="A182" s="74"/>
      <x:c r="B182" s="74"/>
      <x:c r="C182" s="74"/>
      <x:c r="D182" s="74"/>
      <x:c r="E182" s="74"/>
      <x:c r="F182" s="74"/>
      <x:c r="G182" s="74"/>
      <x:c r="H182" s="74"/>
      <x:c r="I182" s="74"/>
      <x:c r="J182" s="74"/>
      <x:c r="K182" s="74"/>
      <x:c r="L182" s="74"/>
      <x:c r="M182" s="74"/>
      <x:c r="N182" s="74"/>
      <x:c r="O182" s="74"/>
      <x:c r="P182" s="74"/>
      <x:c r="Q182" s="74"/>
      <x:c r="R182" s="74"/>
      <x:c r="S182" s="74"/>
      <x:c r="T182" s="74"/>
      <x:c r="U182" s="74"/>
      <x:c r="V182" s="74"/>
    </x:row>
    <x:row r="183">
      <x:c r="A183" s="74"/>
      <x:c r="B183" s="74"/>
      <x:c r="C183" s="74"/>
      <x:c r="D183" s="74"/>
      <x:c r="E183" s="74"/>
      <x:c r="F183" s="74"/>
      <x:c r="G183" s="74"/>
      <x:c r="H183" s="74"/>
      <x:c r="I183" s="74"/>
      <x:c r="J183" s="74"/>
      <x:c r="K183" s="74"/>
      <x:c r="L183" s="74"/>
      <x:c r="M183" s="74"/>
      <x:c r="N183" s="74"/>
      <x:c r="O183" s="74"/>
      <x:c r="P183" s="74"/>
      <x:c r="Q183" s="74"/>
      <x:c r="R183" s="74"/>
      <x:c r="S183" s="74"/>
      <x:c r="T183" s="74"/>
      <x:c r="U183" s="74"/>
      <x:c r="V183" s="74"/>
    </x:row>
    <x:row r="184">
      <x:c r="A184" s="74"/>
      <x:c r="B184" s="74"/>
      <x:c r="C184" s="74"/>
      <x:c r="D184" s="74"/>
      <x:c r="E184" s="74"/>
      <x:c r="F184" s="74"/>
      <x:c r="G184" s="74"/>
      <x:c r="H184" s="74"/>
      <x:c r="I184" s="74"/>
      <x:c r="J184" s="74"/>
      <x:c r="K184" s="74"/>
      <x:c r="L184" s="74"/>
      <x:c r="M184" s="74"/>
      <x:c r="N184" s="74"/>
      <x:c r="O184" s="74"/>
      <x:c r="P184" s="74"/>
      <x:c r="Q184" s="74"/>
      <x:c r="R184" s="74"/>
      <x:c r="S184" s="74"/>
      <x:c r="T184" s="74"/>
      <x:c r="U184" s="74"/>
      <x:c r="V184" s="74"/>
    </x:row>
    <x:row r="185">
      <x:c r="A185" s="74"/>
      <x:c r="B185" s="74"/>
      <x:c r="C185" s="74"/>
      <x:c r="D185" s="74"/>
      <x:c r="E185" s="74"/>
      <x:c r="F185" s="74"/>
      <x:c r="G185" s="74"/>
      <x:c r="H185" s="74"/>
      <x:c r="I185" s="74"/>
      <x:c r="J185" s="74"/>
      <x:c r="K185" s="74"/>
      <x:c r="L185" s="74"/>
      <x:c r="M185" s="74"/>
      <x:c r="N185" s="74"/>
      <x:c r="O185" s="74"/>
      <x:c r="P185" s="74"/>
      <x:c r="Q185" s="74"/>
      <x:c r="R185" s="74"/>
      <x:c r="S185" s="74"/>
      <x:c r="T185" s="74"/>
      <x:c r="U185" s="74"/>
      <x:c r="V185" s="74"/>
    </x:row>
    <x:row r="186">
      <x:c r="A186" s="74"/>
      <x:c r="B186" s="74"/>
      <x:c r="C186" s="74"/>
      <x:c r="D186" s="74"/>
      <x:c r="E186" s="74"/>
      <x:c r="F186" s="74"/>
      <x:c r="G186" s="74"/>
      <x:c r="H186" s="74"/>
      <x:c r="I186" s="74"/>
      <x:c r="J186" s="74"/>
      <x:c r="K186" s="74"/>
      <x:c r="L186" s="74"/>
      <x:c r="M186" s="74"/>
      <x:c r="N186" s="74"/>
      <x:c r="O186" s="74"/>
      <x:c r="P186" s="74"/>
      <x:c r="Q186" s="74"/>
      <x:c r="R186" s="74"/>
      <x:c r="S186" s="74"/>
      <x:c r="T186" s="74"/>
      <x:c r="U186" s="74"/>
      <x:c r="V186" s="74"/>
    </x:row>
    <x:row r="187">
      <x:c r="A187" s="74"/>
      <x:c r="B187" s="74"/>
      <x:c r="C187" s="74"/>
      <x:c r="D187" s="74"/>
      <x:c r="E187" s="74"/>
      <x:c r="F187" s="74"/>
      <x:c r="G187" s="74"/>
      <x:c r="H187" s="74"/>
      <x:c r="I187" s="74"/>
      <x:c r="J187" s="74"/>
      <x:c r="K187" s="74"/>
      <x:c r="L187" s="74"/>
      <x:c r="M187" s="74"/>
      <x:c r="N187" s="74"/>
      <x:c r="O187" s="74"/>
      <x:c r="P187" s="74"/>
      <x:c r="Q187" s="74"/>
      <x:c r="R187" s="74"/>
      <x:c r="S187" s="74"/>
      <x:c r="T187" s="74"/>
      <x:c r="U187" s="74"/>
      <x:c r="V187" s="74"/>
    </x:row>
    <x:row r="188">
      <x:c r="A188" s="74"/>
      <x:c r="B188" s="74"/>
      <x:c r="C188" s="74"/>
      <x:c r="D188" s="74"/>
      <x:c r="E188" s="74"/>
      <x:c r="F188" s="74"/>
      <x:c r="G188" s="74"/>
      <x:c r="H188" s="74"/>
      <x:c r="I188" s="74"/>
      <x:c r="J188" s="74"/>
      <x:c r="K188" s="74"/>
      <x:c r="L188" s="74"/>
      <x:c r="M188" s="74"/>
      <x:c r="N188" s="74"/>
      <x:c r="O188" s="74"/>
      <x:c r="P188" s="74"/>
      <x:c r="Q188" s="74"/>
      <x:c r="R188" s="74"/>
      <x:c r="S188" s="74"/>
      <x:c r="T188" s="74"/>
      <x:c r="U188" s="74"/>
      <x:c r="V188" s="74"/>
    </x:row>
    <x:row r="189">
      <x:c r="A189" s="74"/>
      <x:c r="B189" s="74"/>
      <x:c r="C189" s="74"/>
      <x:c r="D189" s="74"/>
      <x:c r="E189" s="74"/>
      <x:c r="F189" s="74"/>
      <x:c r="G189" s="74"/>
      <x:c r="H189" s="74"/>
      <x:c r="I189" s="74"/>
      <x:c r="J189" s="74"/>
      <x:c r="K189" s="74"/>
      <x:c r="L189" s="74"/>
      <x:c r="M189" s="74"/>
      <x:c r="N189" s="74"/>
      <x:c r="O189" s="74"/>
      <x:c r="P189" s="74"/>
      <x:c r="Q189" s="74"/>
      <x:c r="R189" s="74"/>
      <x:c r="S189" s="74"/>
      <x:c r="T189" s="74"/>
      <x:c r="U189" s="74"/>
      <x:c r="V189" s="74"/>
    </x:row>
    <x:row r="190">
      <x:c r="A190" s="74"/>
      <x:c r="B190" s="74"/>
      <x:c r="C190" s="74"/>
      <x:c r="D190" s="74"/>
      <x:c r="E190" s="74"/>
      <x:c r="F190" s="74"/>
      <x:c r="G190" s="74"/>
      <x:c r="H190" s="74"/>
      <x:c r="I190" s="74"/>
      <x:c r="J190" s="74"/>
      <x:c r="K190" s="74"/>
      <x:c r="L190" s="74"/>
      <x:c r="M190" s="74"/>
      <x:c r="N190" s="74"/>
      <x:c r="O190" s="74"/>
      <x:c r="P190" s="74"/>
      <x:c r="Q190" s="74"/>
      <x:c r="R190" s="74"/>
      <x:c r="S190" s="74"/>
      <x:c r="T190" s="74"/>
      <x:c r="U190" s="74"/>
      <x:c r="V190" s="74"/>
    </x:row>
    <x:row r="191">
      <x:c r="A191" s="74"/>
      <x:c r="B191" s="74"/>
      <x:c r="C191" s="74"/>
      <x:c r="D191" s="74"/>
      <x:c r="E191" s="74"/>
      <x:c r="F191" s="74"/>
      <x:c r="G191" s="74"/>
      <x:c r="H191" s="74"/>
      <x:c r="I191" s="74"/>
      <x:c r="J191" s="74"/>
      <x:c r="K191" s="74"/>
      <x:c r="L191" s="74"/>
      <x:c r="M191" s="74"/>
      <x:c r="N191" s="74"/>
      <x:c r="O191" s="74"/>
      <x:c r="P191" s="74"/>
      <x:c r="Q191" s="74"/>
      <x:c r="R191" s="74"/>
      <x:c r="S191" s="74"/>
      <x:c r="T191" s="74"/>
      <x:c r="U191" s="74"/>
      <x:c r="V191" s="74"/>
    </x:row>
    <x:row r="192">
      <x:c r="A192" s="74"/>
      <x:c r="B192" s="74"/>
      <x:c r="C192" s="74"/>
      <x:c r="D192" s="74"/>
      <x:c r="E192" s="74"/>
      <x:c r="F192" s="74"/>
      <x:c r="G192" s="74"/>
      <x:c r="H192" s="74"/>
      <x:c r="I192" s="74"/>
      <x:c r="J192" s="74"/>
      <x:c r="K192" s="74"/>
      <x:c r="L192" s="74"/>
      <x:c r="M192" s="74"/>
      <x:c r="N192" s="74"/>
      <x:c r="O192" s="74"/>
      <x:c r="P192" s="74"/>
      <x:c r="Q192" s="74"/>
      <x:c r="R192" s="74"/>
      <x:c r="S192" s="74"/>
      <x:c r="T192" s="74"/>
      <x:c r="U192" s="74"/>
      <x:c r="V192" s="74"/>
    </x:row>
    <x:row r="193">
      <x:c r="A193" s="74"/>
      <x:c r="B193" s="74"/>
      <x:c r="C193" s="74"/>
      <x:c r="D193" s="74"/>
      <x:c r="E193" s="74"/>
      <x:c r="F193" s="74"/>
      <x:c r="G193" s="74"/>
      <x:c r="H193" s="74"/>
      <x:c r="I193" s="74"/>
      <x:c r="J193" s="74"/>
      <x:c r="K193" s="74"/>
      <x:c r="L193" s="74"/>
      <x:c r="M193" s="74"/>
      <x:c r="N193" s="74"/>
      <x:c r="O193" s="74"/>
      <x:c r="P193" s="74"/>
      <x:c r="Q193" s="74"/>
      <x:c r="R193" s="74"/>
      <x:c r="S193" s="74"/>
      <x:c r="T193" s="74"/>
      <x:c r="U193" s="74"/>
      <x:c r="V193" s="74"/>
    </x:row>
    <x:row r="194">
      <x:c r="A194" s="74"/>
      <x:c r="B194" s="74"/>
      <x:c r="C194" s="74"/>
      <x:c r="D194" s="74"/>
      <x:c r="E194" s="74"/>
      <x:c r="F194" s="74"/>
      <x:c r="G194" s="74"/>
      <x:c r="H194" s="74"/>
      <x:c r="I194" s="74"/>
      <x:c r="J194" s="74"/>
      <x:c r="K194" s="74"/>
      <x:c r="L194" s="74"/>
      <x:c r="M194" s="74"/>
      <x:c r="N194" s="74"/>
      <x:c r="O194" s="74"/>
      <x:c r="P194" s="74"/>
      <x:c r="Q194" s="74"/>
      <x:c r="R194" s="74"/>
      <x:c r="S194" s="74"/>
      <x:c r="T194" s="74"/>
      <x:c r="U194" s="74"/>
      <x:c r="V194" s="74"/>
    </x:row>
    <x:row r="195">
      <x:c r="A195" s="74"/>
      <x:c r="B195" s="74"/>
      <x:c r="C195" s="74"/>
      <x:c r="D195" s="74"/>
      <x:c r="E195" s="74"/>
      <x:c r="F195" s="74"/>
      <x:c r="G195" s="74"/>
      <x:c r="H195" s="74"/>
      <x:c r="I195" s="74"/>
      <x:c r="J195" s="74"/>
      <x:c r="K195" s="74"/>
      <x:c r="L195" s="74"/>
      <x:c r="M195" s="74"/>
      <x:c r="N195" s="74"/>
      <x:c r="O195" s="74"/>
      <x:c r="P195" s="74"/>
      <x:c r="Q195" s="74"/>
      <x:c r="R195" s="74"/>
      <x:c r="S195" s="74"/>
      <x:c r="T195" s="74"/>
      <x:c r="U195" s="74"/>
      <x:c r="V195" s="74"/>
    </x:row>
    <x:row r="196">
      <x:c r="A196" s="74"/>
      <x:c r="B196" s="74"/>
      <x:c r="C196" s="74"/>
      <x:c r="D196" s="74"/>
      <x:c r="E196" s="74"/>
      <x:c r="F196" s="74"/>
      <x:c r="G196" s="74"/>
      <x:c r="H196" s="74"/>
      <x:c r="I196" s="74"/>
      <x:c r="J196" s="74"/>
      <x:c r="K196" s="74"/>
      <x:c r="L196" s="74"/>
      <x:c r="M196" s="74"/>
      <x:c r="N196" s="74"/>
      <x:c r="O196" s="74"/>
      <x:c r="P196" s="74"/>
      <x:c r="Q196" s="74"/>
      <x:c r="R196" s="74"/>
      <x:c r="S196" s="74"/>
      <x:c r="T196" s="74"/>
      <x:c r="U196" s="74"/>
      <x:c r="V196" s="74"/>
    </x:row>
    <x:row r="197">
      <x:c r="A197" s="74"/>
      <x:c r="B197" s="74"/>
      <x:c r="C197" s="74"/>
      <x:c r="D197" s="74"/>
      <x:c r="E197" s="74"/>
      <x:c r="F197" s="74"/>
      <x:c r="G197" s="74"/>
      <x:c r="H197" s="74"/>
      <x:c r="I197" s="74"/>
      <x:c r="J197" s="74"/>
      <x:c r="K197" s="74"/>
      <x:c r="L197" s="74"/>
      <x:c r="M197" s="74"/>
      <x:c r="N197" s="74"/>
      <x:c r="O197" s="74"/>
      <x:c r="P197" s="74"/>
      <x:c r="Q197" s="74"/>
      <x:c r="R197" s="74"/>
      <x:c r="S197" s="74"/>
      <x:c r="T197" s="74"/>
      <x:c r="U197" s="74"/>
      <x:c r="V197" s="74"/>
    </x:row>
    <x:row r="198">
      <x:c r="A198" s="74"/>
      <x:c r="B198" s="74"/>
      <x:c r="C198" s="74"/>
      <x:c r="D198" s="74"/>
      <x:c r="E198" s="74"/>
      <x:c r="F198" s="74"/>
      <x:c r="G198" s="74"/>
      <x:c r="H198" s="74"/>
      <x:c r="I198" s="74"/>
      <x:c r="J198" s="74"/>
      <x:c r="K198" s="74"/>
      <x:c r="L198" s="74"/>
      <x:c r="M198" s="74"/>
      <x:c r="N198" s="74"/>
      <x:c r="O198" s="74"/>
      <x:c r="P198" s="74"/>
      <x:c r="Q198" s="74"/>
      <x:c r="R198" s="74"/>
      <x:c r="S198" s="74"/>
      <x:c r="T198" s="74"/>
      <x:c r="U198" s="74"/>
      <x:c r="V198" s="74"/>
    </x:row>
    <x:row r="199">
      <x:c r="A199" s="74"/>
      <x:c r="B199" s="74"/>
      <x:c r="C199" s="74"/>
      <x:c r="D199" s="74"/>
      <x:c r="E199" s="74"/>
      <x:c r="F199" s="74"/>
      <x:c r="G199" s="74"/>
      <x:c r="H199" s="74"/>
      <x:c r="I199" s="74"/>
      <x:c r="J199" s="74"/>
      <x:c r="K199" s="74"/>
      <x:c r="L199" s="74"/>
      <x:c r="M199" s="74"/>
      <x:c r="N199" s="74"/>
      <x:c r="O199" s="74"/>
      <x:c r="P199" s="74"/>
      <x:c r="Q199" s="74"/>
      <x:c r="R199" s="74"/>
      <x:c r="S199" s="74"/>
      <x:c r="T199" s="74"/>
      <x:c r="U199" s="74"/>
      <x:c r="V199" s="74"/>
    </x:row>
    <x:row r="200">
      <x:c r="A200" s="74"/>
      <x:c r="B200" s="74"/>
      <x:c r="C200" s="74"/>
      <x:c r="D200" s="74"/>
      <x:c r="E200" s="74"/>
      <x:c r="F200" s="74"/>
      <x:c r="G200" s="74"/>
      <x:c r="H200" s="74"/>
      <x:c r="I200" s="74"/>
      <x:c r="J200" s="74"/>
      <x:c r="K200" s="74"/>
      <x:c r="L200" s="74"/>
      <x:c r="M200" s="74"/>
      <x:c r="N200" s="74"/>
      <x:c r="O200" s="74"/>
      <x:c r="P200" s="74"/>
      <x:c r="Q200" s="74"/>
      <x:c r="R200" s="74"/>
      <x:c r="S200" s="74"/>
      <x:c r="T200" s="74"/>
      <x:c r="U200" s="74"/>
      <x:c r="V200" s="74"/>
    </x:row>
  </x:sheetData>
  <x:pageMargins left="0.7" right="0.7" top="0.75" bottom="0.75" header="0.3" footer="0.3"/>
  <x:tableParts count="1">
    <x:tablePart xmlns:r="http://schemas.openxmlformats.org/officeDocument/2006/relationships" r:id="Rbaa4ca8bed8b40c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42" hidden="0" customWidth="1"/>
    <x:col min="4" max="4" width="60" hidden="0" customWidth="1"/>
    <x:col min="5" max="5" width="28" hidden="0" customWidth="1"/>
    <x:col min="6" max="6" width="20" hidden="0" customWidth="1"/>
    <x:col min="7" max="7" width="24" hidden="0" customWidth="1"/>
    <x:col min="8" max="8" width="42" hidden="0" customWidth="1"/>
  </x:cols>
  <x:sheetData>
    <x:row r="1">
      <x:c r="A1" s="136" t="str">
        <x:v>Final Paper Asset Consolidation Map — 7 Figures + 9 Tables</x:v>
      </x:c>
      <x:c r="B1" s="136"/>
      <x:c r="C1" s="136"/>
      <x:c r="D1" s="136"/>
      <x:c r="E1" s="136"/>
      <x:c r="F1" s="136"/>
      <x:c r="G1" s="136"/>
      <x:c r="H1" s="136"/>
    </x:row>
    <x:row r="2">
      <x:c r="A2" s="138" t="str">
        <x:v>D11: 기능 ID 25개를 16개 본문 슬롯과 부록 슬롯으로 통합한다. final slot 하나는 여러 Claim·기능 ID를 panel로 포함할 수 있다.</x:v>
      </x:c>
      <x:c r="B2" s="138"/>
      <x:c r="C2" s="138"/>
      <x:c r="D2" s="138"/>
      <x:c r="E2" s="138"/>
      <x:c r="F2" s="138"/>
      <x:c r="G2" s="138"/>
      <x:c r="H2" s="138"/>
    </x:row>
    <x:row r="4">
      <x:c r="A4" s="142" t="str">
        <x:v>Final slot</x:v>
      </x:c>
      <x:c r="B4" s="142" t="str">
        <x:v>종류</x:v>
      </x:c>
      <x:c r="C4" s="142" t="str">
        <x:v>최종 제목·역할</x:v>
      </x:c>
      <x:c r="D4" s="142" t="str">
        <x:v>Panel·구성 기능 ID</x:v>
      </x:c>
      <x:c r="E4" s="142" t="str">
        <x:v>연결 Claim</x:v>
      </x:c>
      <x:c r="F4" s="142" t="str">
        <x:v>본문 위치</x:v>
      </x:c>
      <x:c r="G4" s="142" t="str">
        <x:v>상태</x:v>
      </x:c>
      <x:c r="H4" s="142" t="str">
        <x:v>비고</x:v>
      </x:c>
    </x:row>
    <x:row r="5" ht="58" customHeight="1">
      <x:c r="A5" s="34" t="str">
        <x:v>FIG-01</x:v>
      </x:c>
      <x:c r="B5" s="34" t="str">
        <x:v>본문 그림</x:v>
      </x:c>
      <x:c r="C5" s="34" t="str">
        <x:v>전체 논증·평가–식별 구조</x:v>
      </x:c>
      <x:c r="D5" s="34" t="str">
        <x:v>A BOUNDARY_SCOPE; B FIG_MEASUREMENT_AUTOPSY; C FIG_TRAIN_EVAL_SEPARATION</x:v>
      </x:c>
      <x:c r="E5" s="34" t="str">
        <x:v>C01,C03,C05</x:v>
      </x:c>
      <x:c r="F5" s="34" t="str">
        <x:v>1.2, 2.2–2.5</x:v>
      </x:c>
      <x:c r="G5" s="34" t="str">
        <x:v>PLANNED</x:v>
      </x:c>
      <x:c r="H5" s="34" t="str">
        <x:v>세 귀속 오류와 평가·학습 분리를 한 그림으로 통합</x:v>
      </x:c>
    </x:row>
    <x:row r="6" ht="58" customHeight="1">
      <x:c r="A6" s="34" t="str">
        <x:v>FIG-02</x:v>
      </x:c>
      <x:c r="B6" s="34" t="str">
        <x:v>본문 그림</x:v>
      </x:c>
      <x:c r="C6" s="34" t="str">
        <x:v>자유작성 성과 귀속</x:v>
      </x:c>
      <x:c r="D6" s="34" t="str">
        <x:v>FIG_FREEFORM_ATTRIBUTION</x:v>
      </x:c>
      <x:c r="E6" s="34" t="str">
        <x:v>C08</x:v>
      </x:c>
      <x:c r="F6" s="34" t="str">
        <x:v>5.3</x:v>
      </x:c>
      <x:c r="G6" s="34" t="str">
        <x:v>READY</x:v>
      </x:c>
      <x:c r="H6" s="34" t="str">
        <x:v>waterfall/ablation</x:v>
      </x:c>
    </x:row>
    <x:row r="7" ht="58" customHeight="1">
      <x:c r="A7" s="34" t="str">
        <x:v>FIG-03</x:v>
      </x:c>
      <x:c r="B7" s="34" t="str">
        <x:v>본문 그림</x:v>
      </x:c>
      <x:c r="C7" s="34" t="str">
        <x:v>C4–C4R–C6 식별식과 조건구조</x:v>
      </x:c>
      <x:c r="D7" s="34" t="str">
        <x:v>NEW: FIG_C4_C4R_C6_IDENTIFICATION</x:v>
      </x:c>
      <x:c r="E7" s="34" t="str">
        <x:v>C12–C17</x:v>
      </x:c>
      <x:c r="F7" s="34" t="str">
        <x:v>2.5, 6.2, 6.4</x:v>
      </x:c>
      <x:c r="G7" s="34" t="str">
        <x:v>PLANNED</x:v>
      </x:c>
      <x:c r="H7" s="34" t="str">
        <x:v>결과 그래프와 분리된 설계도</x:v>
      </x:c>
    </x:row>
    <x:row r="8" ht="58" customHeight="1">
      <x:c r="A8" s="34" t="str">
        <x:v>FIG-04</x:v>
      </x:c>
      <x:c r="B8" s="34" t="str">
        <x:v>본문 그림</x:v>
      </x:c>
      <x:c r="C8" s="34" t="str">
        <x:v>백엔드×예산별 self-review·reference·package</x:v>
      </x:c>
      <x:c r="D8" s="34" t="str">
        <x:v>FIG_BUDGET_COMPONENT_INTERACTION</x:v>
      </x:c>
      <x:c r="E8" s="34" t="str">
        <x:v>C14–C17</x:v>
      </x:c>
      <x:c r="F8" s="34" t="str">
        <x:v>6.1–6.2, 6.6</x:v>
      </x:c>
      <x:c r="G8" s="34" t="str">
        <x:v>READY</x:v>
      </x:c>
      <x:c r="H8" s="34" t="str">
        <x:v>핵심 결과</x:v>
      </x:c>
    </x:row>
    <x:row r="9" ht="58" customHeight="1">
      <x:c r="A9" s="34" t="str">
        <x:v>FIG-05</x:v>
      </x:c>
      <x:c r="B9" s="34" t="str">
        <x:v>본문 그림</x:v>
      </x:c>
      <x:c r="C9" s="34" t="str">
        <x:v>Raw 생성→clipping→applied 행동 경로</x:v>
      </x:c>
      <x:c r="D9" s="34" t="str">
        <x:v>FIG_RAW_APPLIED_ACTION_PATH</x:v>
      </x:c>
      <x:c r="E9" s="34" t="str">
        <x:v>C18,C19,C20</x:v>
      </x:c>
      <x:c r="F9" s="34" t="str">
        <x:v>6.3</x:v>
      </x:c>
      <x:c r="G9" s="34" t="str">
        <x:v>PARTIAL</x:v>
      </x:c>
      <x:c r="H9" s="34" t="str">
        <x:v>C20 판정은 부록표와 연동</x:v>
      </x:c>
    </x:row>
    <x:row r="10" ht="58" customHeight="1">
      <x:c r="A10" s="34" t="str">
        <x:v>FIG-06</x:v>
      </x:c>
      <x:c r="B10" s="34" t="str">
        <x:v>본문 그림</x:v>
      </x:c>
      <x:c r="C10" s="34" t="str">
        <x:v>평가함수 해상도·Shapley·다중해상도 재현성</x:v>
      </x:c>
      <x:c r="D10" s="34" t="str">
        <x:v>A FIG_EVALUATOR_RESOLUTION_STATIC + FIG_EVALUATOR_RESOLUTION_DYNAMIC; B FIG_SHAPLEY_COMPONENTS; C FIG_MULTIRES_REPRODUCIBILITY</x:v>
      </x:c>
      <x:c r="E10" s="34" t="str">
        <x:v>C04,C11,C21,C27</x:v>
      </x:c>
      <x:c r="F10" s="34" t="str">
        <x:v>3.7, 6.7–6.8</x:v>
      </x:c>
      <x:c r="G10" s="34" t="str">
        <x:v>PARTIAL</x:v>
      </x:c>
      <x:c r="H10" s="34" t="str">
        <x:v>C04/C11/C27 미완료</x:v>
      </x:c>
    </x:row>
    <x:row r="11" ht="58" customHeight="1">
      <x:c r="A11" s="34" t="str">
        <x:v>FIG-07</x:v>
      </x:c>
      <x:c r="B11" s="34" t="str">
        <x:v>본문 그림</x:v>
      </x:c>
      <x:c r="C11" s="34" t="str">
        <x:v>배포 정책 시스템 승인 프레임워크</x:v>
      </x:c>
      <x:c r="D11" s="34" t="str">
        <x:v>FIG_DEPLOYMENT_POLICY_SYSTEM</x:v>
      </x:c>
      <x:c r="E11" s="34" t="str">
        <x:v>C24,C28</x:v>
      </x:c>
      <x:c r="F11" s="34" t="str">
        <x:v>7.4–7.6</x:v>
      </x:c>
      <x:c r="G11" s="34" t="str">
        <x:v>READY_WITH_BOUNDARY</x:v>
      </x:c>
      <x:c r="H11" s="34" t="str">
        <x:v>운영 결론</x:v>
      </x:c>
    </x:row>
    <x:row r="12" ht="58" customHeight="1">
      <x:c r="A12" s="34" t="str">
        <x:v>TAB-01</x:v>
      </x:c>
      <x:c r="B12" s="34" t="str">
        <x:v>본문 표</x:v>
      </x:c>
      <x:c r="C12" s="34" t="str">
        <x:v>표본과 시간분할</x:v>
      </x:c>
      <x:c r="D12" s="34" t="str">
        <x:v>NEW: TAB_SAMPLE_TIME_SPLIT</x:v>
      </x:c>
      <x:c r="E12" s="34" t="str">
        <x:v>C01,C02,C05</x:v>
      </x:c>
      <x:c r="F12" s="34" t="str">
        <x:v>3.1</x:v>
      </x:c>
      <x:c r="G12" s="34" t="str">
        <x:v>PLANNED</x:v>
      </x:c>
      <x:c r="H12" s="34" t="str">
        <x:v>모든 분석 cohort를 한 표에</x:v>
      </x:c>
    </x:row>
    <x:row r="13" ht="58" customHeight="1">
      <x:c r="A13" s="34" t="str">
        <x:v>TAB-02</x:v>
      </x:c>
      <x:c r="B13" s="34" t="str">
        <x:v>본문 표</x:v>
      </x:c>
      <x:c r="C13" s="34" t="str">
        <x:v>행동공간과 평가계약</x:v>
      </x:c>
      <x:c r="D13" s="34" t="str">
        <x:v>NEW: TAB_ACTION_EVALUATION_CONTRACT</x:v>
      </x:c>
      <x:c r="E13" s="34" t="str">
        <x:v>C01,C03,C05</x:v>
      </x:c>
      <x:c r="F13" s="34" t="str">
        <x:v>3.2–3.4</x:v>
      </x:c>
      <x:c r="G13" s="34" t="str">
        <x:v>PLANNED</x:v>
      </x:c>
      <x:c r="H13" s="34" t="str">
        <x:v>10D·11 actions·Oracle roles</x:v>
      </x:c>
    </x:row>
    <x:row r="14" ht="58" customHeight="1">
      <x:c r="A14" s="34" t="str">
        <x:v>TAB-03</x:v>
      </x:c>
      <x:c r="B14" s="34" t="str">
        <x:v>본문 표</x:v>
      </x:c>
      <x:c r="C14" s="34" t="str">
        <x:v>Oracle 검증</x:v>
      </x:c>
      <x:c r="D14" s="34" t="str">
        <x:v>TAB_ORACLE_OOT_VALIDATION</x:v>
      </x:c>
      <x:c r="E14" s="34" t="str">
        <x:v>C02,C03,C04</x:v>
      </x:c>
      <x:c r="F14" s="34" t="str">
        <x:v>3.5–3.7</x:v>
      </x:c>
      <x:c r="G14" s="34" t="str">
        <x:v>PARTIAL</x:v>
      </x:c>
      <x:c r="H14" s="34" t="str">
        <x:v>C02/C04 path 필요</x:v>
      </x:c>
    </x:row>
    <x:row r="15" ht="58" customHeight="1">
      <x:c r="A15" s="34" t="str">
        <x:v>TAB-04</x:v>
      </x:c>
      <x:c r="B15" s="34" t="str">
        <x:v>본문 표</x:v>
      </x:c>
      <x:c r="C15" s="34" t="str">
        <x:v>Candidate-IQL reference ladder와 provenance</x:v>
      </x:c>
      <x:c r="D15" s="34" t="str">
        <x:v>TAB_REFERENCE_LADDER + S25 provenance</x:v>
      </x:c>
      <x:c r="E15" s="34" t="str">
        <x:v>C05,C06,C11</x:v>
      </x:c>
      <x:c r="F15" s="34" t="str">
        <x:v>4.5–4.7</x:v>
      </x:c>
      <x:c r="G15" s="34" t="str">
        <x:v>PARTIAL</x:v>
      </x:c>
      <x:c r="H15" s="34" t="str">
        <x:v>C05/C06/C11 미완료</x:v>
      </x:c>
    </x:row>
    <x:row r="16" ht="58" customHeight="1">
      <x:c r="A16" s="34" t="str">
        <x:v>TAB-05</x:v>
      </x:c>
      <x:c r="B16" s="34" t="str">
        <x:v>본문 표</x:v>
      </x:c>
      <x:c r="C16" s="34" t="str">
        <x:v>표준 선택 대 자유작성</x:v>
      </x:c>
      <x:c r="D16" s="34" t="str">
        <x:v>TAB_STANDARD_VS_FREEFORM</x:v>
      </x:c>
      <x:c r="E16" s="34" t="str">
        <x:v>C07</x:v>
      </x:c>
      <x:c r="F16" s="34" t="str">
        <x:v>5.2</x:v>
      </x:c>
      <x:c r="G16" s="34" t="str">
        <x:v>READY</x:v>
      </x:c>
      <x:c r="H16" s="34" t="str"/>
    </x:row>
    <x:row r="17" ht="58" customHeight="1">
      <x:c r="A17" s="34" t="str">
        <x:v>TAB-06</x:v>
      </x:c>
      <x:c r="B17" s="34" t="str">
        <x:v>본문 표</x:v>
      </x:c>
      <x:c r="C17" s="34" t="str">
        <x:v>자유작성·추론·정보조건 핵심 대조</x:v>
      </x:c>
      <x:c r="D17" s="34" t="str">
        <x:v>A attribution summary; B TAB_INFORMATION_AND_RECOGNITION; C TAB_REASONING_SCORE_EFFECT; D TAB_REASONING_FORMAT_EFFECT</x:v>
      </x:c>
      <x:c r="E17" s="34" t="str">
        <x:v>C08,C09,C10,C26</x:v>
      </x:c>
      <x:c r="F17" s="34" t="str">
        <x:v>5.3–5.5</x:v>
      </x:c>
      <x:c r="G17" s="34" t="str">
        <x:v>PARTIAL</x:v>
      </x:c>
      <x:c r="H17" s="34" t="str">
        <x:v>H1/H2 3백엔드 범위</x:v>
      </x:c>
    </x:row>
    <x:row r="18" ht="58" customHeight="1">
      <x:c r="A18" s="34" t="str">
        <x:v>TAB-07</x:v>
      </x:c>
      <x:c r="B18" s="34" t="str">
        <x:v>본문 표</x:v>
      </x:c>
      <x:c r="C18" s="34" t="str">
        <x:v>C4–C4R–C6×예산×백엔드 성분 및 행동계약</x:v>
      </x:c>
      <x:c r="D18" s="34" t="str">
        <x:v>A FIG_BUDGET_COMPONENT_INTERACTION data; B TAB_CANONICAL_CLIPPING</x:v>
      </x:c>
      <x:c r="E18" s="34" t="str">
        <x:v>C14–C19</x:v>
      </x:c>
      <x:c r="F18" s="34" t="str">
        <x:v>6.1–6.3, 6.6</x:v>
      </x:c>
      <x:c r="G18" s="34" t="str">
        <x:v>READY</x:v>
      </x:c>
      <x:c r="H18" s="34" t="str">
        <x:v>component effects + clipping panel</x:v>
      </x:c>
    </x:row>
    <x:row r="19" ht="58" customHeight="1">
      <x:c r="A19" s="34" t="str">
        <x:v>TAB-08</x:v>
      </x:c>
      <x:c r="B19" s="34" t="str">
        <x:v>본문 표</x:v>
      </x:c>
      <x:c r="C19" s="34" t="str">
        <x:v>C6X·C8·TOST 및 Oracle 강건성</x:v>
      </x:c>
      <x:c r="D19" s="34" t="str">
        <x:v>A TAB_REFERENCE_SOURCE; B TAB_REFERENCE_TIMING; C TAB_TOST_ROBUSTNESS</x:v>
      </x:c>
      <x:c r="E19" s="34" t="str">
        <x:v>C12,C13,C22</x:v>
      </x:c>
      <x:c r="F19" s="34" t="str">
        <x:v>6.4, 6.6</x:v>
      </x:c>
      <x:c r="G19" s="34" t="str">
        <x:v>PARTIAL</x:v>
      </x:c>
      <x:c r="H19" s="34" t="str">
        <x:v>C13 path 필요</x:v>
      </x:c>
    </x:row>
    <x:row r="20" ht="58" customHeight="1">
      <x:c r="A20" s="34" t="str">
        <x:v>TAB-09</x:v>
      </x:c>
      <x:c r="B20" s="34" t="str">
        <x:v>본문 표</x:v>
      </x:c>
      <x:c r="C20" s="34" t="str">
        <x:v>QC·실행계보·감사축과 위험기반 배포</x:v>
      </x:c>
      <x:c r="D20" s="34" t="str">
        <x:v>A TAB_QC_ELIGIBILITY; B TAB_RUN_LINEAGE; C deployment audit axes</x:v>
      </x:c>
      <x:c r="E20" s="34" t="str">
        <x:v>C11,C23,C24,C28</x:v>
      </x:c>
      <x:c r="F20" s="34" t="str">
        <x:v>6.5, 6.8, 7.5–7.6</x:v>
      </x:c>
      <x:c r="G20" s="34" t="str">
        <x:v>PARTIAL</x:v>
      </x:c>
      <x:c r="H20" s="34" t="str">
        <x:v>C11 미완료</x:v>
      </x:c>
    </x:row>
    <x:row r="21" ht="58" customHeight="1">
      <x:c r="A21" s="34" t="str">
        <x:v>APP-TAB-RD</x:v>
      </x:c>
      <x:c r="B21" s="34" t="str">
        <x:v>부록 표</x:v>
      </x:c>
      <x:c r="C21" s="34" t="str">
        <x:v>수정 희석 5개 요건</x:v>
      </x:c>
      <x:c r="D21" s="34" t="str">
        <x:v>TAB_REVISION_DILUTION</x:v>
      </x:c>
      <x:c r="E21" s="34" t="str">
        <x:v>C20</x:v>
      </x:c>
      <x:c r="F21" s="34" t="str">
        <x:v>부록</x:v>
      </x:c>
      <x:c r="G21" s="34" t="str">
        <x:v>CONDITIONAL</x:v>
      </x:c>
      <x:c r="H21" s="34" t="str">
        <x:v>확정 후 본문 요약만</x:v>
      </x:c>
    </x:row>
    <x:row r="22" ht="58" customHeight="1">
      <x:c r="A22" s="34" t="str">
        <x:v>APP-TAB-RRV</x:v>
      </x:c>
      <x:c r="B22" s="34" t="str">
        <x:v>부록 표</x:v>
      </x:c>
      <x:c r="C22" s="34" t="str">
        <x:v>관계적 참조가치 상세</x:v>
      </x:c>
      <x:c r="D22" s="34" t="str">
        <x:v>TAB_RELATIONAL_REFERENCE_VALUE</x:v>
      </x:c>
      <x:c r="E22" s="34" t="str">
        <x:v>C25</x:v>
      </x:c>
      <x:c r="F22" s="34" t="str">
        <x:v>부록</x:v>
      </x:c>
      <x:c r="G22" s="34" t="str">
        <x:v>NOT_READY</x:v>
      </x:c>
      <x:c r="H22" s="34" t="str">
        <x:v>E3 재산출 필요</x:v>
      </x:c>
    </x:row>
  </x:sheetData>
  <x:mergeCells>
    <x:mergeCell ref="A1:H1"/>
    <x:mergeCell ref="A2:H2"/>
  </x:mergeCells>
  <x:conditionalFormatting sqref="G5:G22">
    <x:cfRule type="expression" dxfId="17" priority="1">
      <x:formula>OR(G5="PARTIAL",G5="CONDITIONAL",G5="NOT_READY")</x:formula>
    </x:cfRule>
    <x:cfRule type="expression" dxfId="18" priority="2">
      <x:formula>OR(G5="READY",G5="READY_WITH_BOUNDARY")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e017cddb61f44d0"/>
  </x:tableParts>
</x:worksheet>
</file>